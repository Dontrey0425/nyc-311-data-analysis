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cd1f2319bb9ce33/Desktop/"/>
    </mc:Choice>
  </mc:AlternateContent>
  <xr:revisionPtr revIDLastSave="196" documentId="8_{6ED84BF1-F232-4D7E-B248-5C8ECCC2FE4C}" xr6:coauthVersionLast="47" xr6:coauthVersionMax="47" xr10:uidLastSave="{A79DFE3F-D793-4FED-9E41-EF2E75386DA3}"/>
  <bookViews>
    <workbookView xWindow="-432" yWindow="1476" windowWidth="11232" windowHeight="9324" xr2:uid="{00000000-000D-0000-FFFF-FFFF00000000}"/>
  </bookViews>
  <sheets>
    <sheet name="311 Data" sheetId="1" r:id="rId1"/>
    <sheet name="Sheet1" sheetId="4" r:id="rId2"/>
  </sheets>
  <calcPr calcId="191029"/>
  <pivotCaches>
    <pivotCache cacheId="6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 a="1"/>
  <c r="H20" i="1" s="1"/>
  <c r="J8" i="1" a="1"/>
  <c r="J8" i="1" s="1"/>
  <c r="H8" i="1" a="1"/>
  <c r="H8" i="1" s="1"/>
  <c r="G20" i="1" a="1"/>
  <c r="G20" i="1" s="1"/>
  <c r="I8" i="1" a="1"/>
  <c r="I8" i="1" s="1"/>
  <c r="G8" i="1" a="1"/>
  <c r="G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<sst xmlns="http://schemas.openxmlformats.org/spreadsheetml/2006/main" count="631" uniqueCount="32">
  <si>
    <t>Complaint ID</t>
  </si>
  <si>
    <t>Complaint Type</t>
  </si>
  <si>
    <t>Borough</t>
  </si>
  <si>
    <t>Status</t>
  </si>
  <si>
    <t>Days to Close</t>
  </si>
  <si>
    <t>Noise - Residential</t>
  </si>
  <si>
    <t>BROOKLYN</t>
  </si>
  <si>
    <t>Closed</t>
  </si>
  <si>
    <t>HEAT/HOT WATER</t>
  </si>
  <si>
    <t>MANHATTAN</t>
  </si>
  <si>
    <t>Pending</t>
  </si>
  <si>
    <t>Pothole</t>
  </si>
  <si>
    <t>Open</t>
  </si>
  <si>
    <t>STATEN ISLAND</t>
  </si>
  <si>
    <t>Noise - Street/Sidewalk</t>
  </si>
  <si>
    <t>QUEENS</t>
  </si>
  <si>
    <t>Street Light Condition</t>
  </si>
  <si>
    <t>Rodent</t>
  </si>
  <si>
    <t>Graffiti</t>
  </si>
  <si>
    <t>BRONX</t>
  </si>
  <si>
    <t>Blocked Driveway</t>
  </si>
  <si>
    <t>Sanitation Condition</t>
  </si>
  <si>
    <t>Illegal Parking</t>
  </si>
  <si>
    <t>Average Close days to close per complaint</t>
  </si>
  <si>
    <t>Amount of Complaints per Type</t>
  </si>
  <si>
    <t>Average days to close complaint per Borough</t>
  </si>
  <si>
    <t>Amount of Complaints per Borough</t>
  </si>
  <si>
    <t>Row Labels</t>
  </si>
  <si>
    <t>Grand Total</t>
  </si>
  <si>
    <t>Column Labels</t>
  </si>
  <si>
    <t>Average of Days to Close</t>
  </si>
  <si>
    <t>Boroughs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</si>
</sst>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2" fillId="0" borderId="1" xfId="0" applyFont="1" applyBorder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[NYC 311 Complaint Analysis.xlsx]Sheet1!PivotTable2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Pothole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Sheet1!$B$5:$B$10</c:f>
              <c:numCache>
                <c:formatCode>0.00</c:formatCode>
                <c:ptCount val="5"/>
                <c:pt idx="0">
                  <c:v>46.150000000000006</c:v>
                </c:pt>
                <c:pt idx="1">
                  <c:v>39.549999999999997</c:v>
                </c:pt>
                <c:pt idx="2">
                  <c:v>29</c:v>
                </c:pt>
                <c:pt idx="3">
                  <c:v>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D-4C7A-BEF7-9E16B7321FBF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Rodent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Sheet1!$C$5:$C$10</c:f>
              <c:numCache>
                <c:formatCode>0.00</c:formatCode>
                <c:ptCount val="5"/>
                <c:pt idx="0">
                  <c:v>29.25</c:v>
                </c:pt>
                <c:pt idx="1">
                  <c:v>27.049999999999997</c:v>
                </c:pt>
                <c:pt idx="2">
                  <c:v>25.5</c:v>
                </c:pt>
                <c:pt idx="3">
                  <c:v>27.2</c:v>
                </c:pt>
                <c:pt idx="4">
                  <c:v>15.666666666666666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D-4C7A-BEF7-9E16B7321FBF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Street Light Condition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Sheet1!$D$5:$D$10</c:f>
              <c:numCache>
                <c:formatCode>0.00</c:formatCode>
                <c:ptCount val="5"/>
                <c:pt idx="0">
                  <c:v>23</c:v>
                </c:pt>
                <c:pt idx="1">
                  <c:v>25.2</c:v>
                </c:pt>
                <c:pt idx="2">
                  <c:v>18.974999999999998</c:v>
                </c:pt>
                <c:pt idx="3">
                  <c:v>15.25</c:v>
                </c:pt>
                <c:pt idx="4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D-4C7A-BEF7-9E16B7321FBF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Graffiti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Sheet1!$E$5:$E$10</c:f>
              <c:numCache>
                <c:formatCode>0.00</c:formatCode>
                <c:ptCount val="5"/>
                <c:pt idx="0">
                  <c:v>20.066666666666666</c:v>
                </c:pt>
                <c:pt idx="1">
                  <c:v>15.35</c:v>
                </c:pt>
                <c:pt idx="2">
                  <c:v>12.42</c:v>
                </c:pt>
                <c:pt idx="3">
                  <c:v>13.066666666666668</c:v>
                </c:pt>
                <c:pt idx="4">
                  <c:v>13.125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CD-4C7A-BEF7-9E16B7321FBF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Sanitation Condition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Sheet1!$F$5:$F$10</c:f>
              <c:numCache>
                <c:formatCode>0.00</c:formatCode>
                <c:ptCount val="5"/>
                <c:pt idx="0">
                  <c:v>13.65</c:v>
                </c:pt>
                <c:pt idx="1">
                  <c:v>8</c:v>
                </c:pt>
                <c:pt idx="3">
                  <c:v>12.55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CD-4C7A-BEF7-9E16B7321FBF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HEAT/HOT WATER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Sheet1!$G$5:$G$10</c:f>
              <c:numCache>
                <c:formatCode>0.00</c:formatCode>
                <c:ptCount val="5"/>
                <c:pt idx="0">
                  <c:v>5.3</c:v>
                </c:pt>
                <c:pt idx="1">
                  <c:v>5.8000000000000007</c:v>
                </c:pt>
                <c:pt idx="2">
                  <c:v>5.25</c:v>
                </c:pt>
                <c:pt idx="3">
                  <c:v>5.757142857142858</c:v>
                </c:pt>
                <c:pt idx="4">
                  <c:v>5.125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CD-4C7A-BEF7-9E16B7321FBF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Noise - Street/Sidewalk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Sheet1!$H$5:$H$10</c:f>
              <c:numCache>
                <c:formatCode>0.00</c:formatCode>
                <c:ptCount val="5"/>
                <c:pt idx="0">
                  <c:v>1.65</c:v>
                </c:pt>
                <c:pt idx="1">
                  <c:v>1.9</c:v>
                </c:pt>
                <c:pt idx="2">
                  <c:v>2.8</c:v>
                </c:pt>
                <c:pt idx="3">
                  <c:v>2.6999999999999997</c:v>
                </c:pt>
                <c:pt idx="4">
                  <c:v>1.9666666666666668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D-4C7A-BEF7-9E16B7321FBF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Noise - Residential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Sheet1!$I$5:$I$10</c:f>
              <c:numCache>
                <c:formatCode>0.00</c:formatCode>
                <c:ptCount val="5"/>
                <c:pt idx="0">
                  <c:v>3.25</c:v>
                </c:pt>
                <c:pt idx="1">
                  <c:v>1.7</c:v>
                </c:pt>
                <c:pt idx="2">
                  <c:v>1.7749999999999999</c:v>
                </c:pt>
                <c:pt idx="3">
                  <c:v>2.4500000000000002</c:v>
                </c:pt>
                <c:pt idx="4">
                  <c:v>1.7000000000000002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CD-4C7A-BEF7-9E16B7321FBF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Illegal Parking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Sheet1!$J$5:$J$10</c:f>
              <c:numCache>
                <c:formatCode>0.00</c:formatCode>
                <c:ptCount val="5"/>
                <c:pt idx="0">
                  <c:v>1.6</c:v>
                </c:pt>
                <c:pt idx="1">
                  <c:v>1.3</c:v>
                </c:pt>
                <c:pt idx="2">
                  <c:v>1.6</c:v>
                </c:pt>
                <c:pt idx="3">
                  <c:v>1.7</c:v>
                </c:pt>
                <c:pt idx="4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CD-4C7A-BEF7-9E16B7321FBF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Blocked Driveway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BRONX</c:v>
                </c:pt>
                <c:pt idx="1">
                  <c:v>STATEN ISLAND</c:v>
                </c:pt>
                <c:pt idx="2">
                  <c:v>BROOKLYN</c:v>
                </c:pt>
                <c:pt idx="3">
                  <c:v>QUEENS</c:v>
                </c:pt>
                <c:pt idx="4">
                  <c:v>MANHATTAN</c:v>
                </c:pt>
              </c:strCache>
            </c:strRef>
          </c:cat>
          <c:val>
            <c:numRef>
              <c:f>Sheet1!$K$5:$K$10</c:f>
              <c:numCache>
                <c:formatCode>0.00</c:formatCode>
                <c:ptCount val="5"/>
                <c:pt idx="0">
                  <c:v>1.7</c:v>
                </c:pt>
                <c:pt idx="1">
                  <c:v>2.1</c:v>
                </c:pt>
                <c:pt idx="2">
                  <c:v>1.5</c:v>
                </c:pt>
                <c:pt idx="3">
                  <c:v>1.6</c:v>
                </c:pt>
                <c:pt idx="4">
                  <c:v>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CD-4C7A-BEF7-9E16B732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1177999"/>
        <c:axId val="321178959"/>
      </c:barChart>
      <c:catAx>
        <c:axId val="32117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78959"/>
        <c:crosses val="autoZero"/>
        <c:auto val="1"/>
        <c:lblAlgn val="ctr"/>
        <c:lblOffset val="100"/>
        <c:noMultiLvlLbl val="0"/>
      </c:catAx>
      <c:valAx>
        <c:axId val="32117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17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731520</xdr:colOff>
      <xdr:row>10</xdr:row>
      <xdr:rowOff>171450</xdr:rowOff>
    </xdr:from>
    <xdr:to>
      <xdr:col>10</xdr:col>
      <xdr:colOff>487680</xdr:colOff>
      <xdr:row>32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0B63A-FDAA-5BE8-1E46-75340497B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trey Overton" refreshedDate="46113.717217361111" createdVersion="8" refreshedVersion="8" minRefreshableVersion="3" recordCount="200" xr:uid="{91D49705-CE24-4523-B479-37E5878701B3}">
  <cacheSource type="worksheet">
    <worksheetSource ref="A1:E201" sheet="311 Data"/>
  </cacheSource>
  <cacheFields count="5">
    <cacheField name="Complaint ID" numFmtId="0">
      <sharedItems containsSemiMixedTypes="0" containsString="0" containsNumber="1" containsInteger="1" minValue="1" maxValue="200"/>
    </cacheField>
    <cacheField name="Complaint Type" numFmtId="0">
      <sharedItems count="10">
        <s v="Noise - Residential"/>
        <s v="HEAT/HOT WATER"/>
        <s v="Pothole"/>
        <s v="Noise - Street/Sidewalk"/>
        <s v="Street Light Condition"/>
        <s v="Rodent"/>
        <s v="Graffiti"/>
        <s v="Blocked Driveway"/>
        <s v="Sanitation Condition"/>
        <s v="Illegal Parking"/>
      </sharedItems>
    </cacheField>
    <cacheField name="Borough" numFmtId="0">
      <sharedItems count="5">
        <s v="BROOKLYN"/>
        <s v="MANHATTAN"/>
        <s v="STATEN ISLAND"/>
        <s v="QUEENS"/>
        <s v="BRONX"/>
      </sharedItems>
    </cacheField>
    <cacheField name="Status" numFmtId="0">
      <sharedItems/>
    </cacheField>
    <cacheField name="Days to Close" numFmtId="0">
      <sharedItems containsString="0" containsBlank="1" containsNumber="1" minValue="1.1000000000000001" maxValue="57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s v="Closed"/>
    <n v="1.5"/>
  </r>
  <r>
    <n v="2"/>
    <x v="1"/>
    <x v="1"/>
    <s v="Pending"/>
    <m/>
  </r>
  <r>
    <n v="3"/>
    <x v="2"/>
    <x v="0"/>
    <s v="Open"/>
    <m/>
  </r>
  <r>
    <n v="4"/>
    <x v="0"/>
    <x v="0"/>
    <s v="Closed"/>
    <n v="1.4"/>
  </r>
  <r>
    <n v="5"/>
    <x v="2"/>
    <x v="2"/>
    <s v="Closed"/>
    <n v="33.4"/>
  </r>
  <r>
    <n v="6"/>
    <x v="3"/>
    <x v="2"/>
    <s v="Closed"/>
    <n v="2"/>
  </r>
  <r>
    <n v="7"/>
    <x v="0"/>
    <x v="3"/>
    <s v="Closed"/>
    <n v="2.8"/>
  </r>
  <r>
    <n v="8"/>
    <x v="4"/>
    <x v="3"/>
    <s v="Closed"/>
    <n v="15.2"/>
  </r>
  <r>
    <n v="9"/>
    <x v="1"/>
    <x v="3"/>
    <s v="Closed"/>
    <n v="5.2"/>
  </r>
  <r>
    <n v="10"/>
    <x v="5"/>
    <x v="3"/>
    <s v="Pending"/>
    <m/>
  </r>
  <r>
    <n v="11"/>
    <x v="0"/>
    <x v="3"/>
    <s v="Open"/>
    <m/>
  </r>
  <r>
    <n v="12"/>
    <x v="1"/>
    <x v="2"/>
    <s v="Open"/>
    <m/>
  </r>
  <r>
    <n v="13"/>
    <x v="6"/>
    <x v="0"/>
    <s v="Closed"/>
    <n v="17.8"/>
  </r>
  <r>
    <n v="14"/>
    <x v="5"/>
    <x v="2"/>
    <s v="Pending"/>
    <m/>
  </r>
  <r>
    <n v="15"/>
    <x v="1"/>
    <x v="1"/>
    <s v="Closed"/>
    <n v="4.8"/>
  </r>
  <r>
    <n v="16"/>
    <x v="1"/>
    <x v="3"/>
    <s v="Closed"/>
    <n v="7.4"/>
  </r>
  <r>
    <n v="17"/>
    <x v="4"/>
    <x v="4"/>
    <s v="Open"/>
    <m/>
  </r>
  <r>
    <n v="18"/>
    <x v="7"/>
    <x v="3"/>
    <s v="Closed"/>
    <n v="1.6"/>
  </r>
  <r>
    <n v="19"/>
    <x v="1"/>
    <x v="3"/>
    <s v="Pending"/>
    <m/>
  </r>
  <r>
    <n v="20"/>
    <x v="6"/>
    <x v="1"/>
    <s v="Closed"/>
    <n v="7.8"/>
  </r>
  <r>
    <n v="21"/>
    <x v="4"/>
    <x v="4"/>
    <s v="Pending"/>
    <m/>
  </r>
  <r>
    <n v="22"/>
    <x v="5"/>
    <x v="1"/>
    <s v="Closed"/>
    <n v="15"/>
  </r>
  <r>
    <n v="23"/>
    <x v="5"/>
    <x v="0"/>
    <s v="Open"/>
    <m/>
  </r>
  <r>
    <n v="24"/>
    <x v="1"/>
    <x v="3"/>
    <s v="Closed"/>
    <n v="7.7"/>
  </r>
  <r>
    <n v="25"/>
    <x v="5"/>
    <x v="2"/>
    <s v="Closed"/>
    <n v="25.7"/>
  </r>
  <r>
    <n v="26"/>
    <x v="8"/>
    <x v="4"/>
    <s v="Closed"/>
    <n v="10"/>
  </r>
  <r>
    <n v="27"/>
    <x v="6"/>
    <x v="1"/>
    <s v="Pending"/>
    <m/>
  </r>
  <r>
    <n v="28"/>
    <x v="2"/>
    <x v="3"/>
    <s v="Open"/>
    <m/>
  </r>
  <r>
    <n v="29"/>
    <x v="3"/>
    <x v="2"/>
    <s v="Closed"/>
    <n v="1.5"/>
  </r>
  <r>
    <n v="30"/>
    <x v="6"/>
    <x v="1"/>
    <s v="Open"/>
    <m/>
  </r>
  <r>
    <n v="31"/>
    <x v="0"/>
    <x v="0"/>
    <s v="Closed"/>
    <n v="1.3"/>
  </r>
  <r>
    <n v="32"/>
    <x v="3"/>
    <x v="1"/>
    <s v="Pending"/>
    <m/>
  </r>
  <r>
    <n v="33"/>
    <x v="3"/>
    <x v="0"/>
    <s v="Open"/>
    <m/>
  </r>
  <r>
    <n v="34"/>
    <x v="8"/>
    <x v="2"/>
    <s v="Pending"/>
    <m/>
  </r>
  <r>
    <n v="35"/>
    <x v="6"/>
    <x v="3"/>
    <s v="Closed"/>
    <n v="18.2"/>
  </r>
  <r>
    <n v="36"/>
    <x v="6"/>
    <x v="0"/>
    <s v="Closed"/>
    <n v="17"/>
  </r>
  <r>
    <n v="37"/>
    <x v="1"/>
    <x v="3"/>
    <s v="Closed"/>
    <n v="5.4"/>
  </r>
  <r>
    <n v="38"/>
    <x v="0"/>
    <x v="4"/>
    <s v="Closed"/>
    <n v="4"/>
  </r>
  <r>
    <n v="39"/>
    <x v="6"/>
    <x v="1"/>
    <s v="Closed"/>
    <n v="15.6"/>
  </r>
  <r>
    <n v="40"/>
    <x v="6"/>
    <x v="3"/>
    <s v="Pending"/>
    <m/>
  </r>
  <r>
    <n v="41"/>
    <x v="7"/>
    <x v="1"/>
    <s v="Closed"/>
    <n v="1.5"/>
  </r>
  <r>
    <n v="42"/>
    <x v="6"/>
    <x v="2"/>
    <s v="Closed"/>
    <n v="15.5"/>
  </r>
  <r>
    <n v="43"/>
    <x v="0"/>
    <x v="4"/>
    <s v="Closed"/>
    <n v="3.9"/>
  </r>
  <r>
    <n v="44"/>
    <x v="9"/>
    <x v="3"/>
    <s v="Closed"/>
    <n v="1.4"/>
  </r>
  <r>
    <n v="45"/>
    <x v="1"/>
    <x v="2"/>
    <s v="Closed"/>
    <n v="6.2"/>
  </r>
  <r>
    <n v="46"/>
    <x v="6"/>
    <x v="0"/>
    <s v="Closed"/>
    <n v="8.6999999999999993"/>
  </r>
  <r>
    <n v="47"/>
    <x v="6"/>
    <x v="4"/>
    <s v="Closed"/>
    <n v="14.1"/>
  </r>
  <r>
    <n v="48"/>
    <x v="3"/>
    <x v="2"/>
    <s v="Closed"/>
    <n v="3"/>
  </r>
  <r>
    <n v="49"/>
    <x v="4"/>
    <x v="1"/>
    <s v="Open"/>
    <m/>
  </r>
  <r>
    <n v="50"/>
    <x v="8"/>
    <x v="3"/>
    <s v="Pending"/>
    <m/>
  </r>
  <r>
    <n v="51"/>
    <x v="1"/>
    <x v="4"/>
    <s v="Closed"/>
    <n v="5.3"/>
  </r>
  <r>
    <n v="52"/>
    <x v="0"/>
    <x v="3"/>
    <s v="Pending"/>
    <m/>
  </r>
  <r>
    <n v="53"/>
    <x v="9"/>
    <x v="2"/>
    <s v="Pending"/>
    <m/>
  </r>
  <r>
    <n v="54"/>
    <x v="0"/>
    <x v="1"/>
    <s v="Closed"/>
    <n v="2.1"/>
  </r>
  <r>
    <n v="55"/>
    <x v="9"/>
    <x v="0"/>
    <s v="Closed"/>
    <n v="1.9"/>
  </r>
  <r>
    <n v="56"/>
    <x v="1"/>
    <x v="3"/>
    <s v="Pending"/>
    <m/>
  </r>
  <r>
    <n v="57"/>
    <x v="4"/>
    <x v="1"/>
    <s v="Open"/>
    <m/>
  </r>
  <r>
    <n v="58"/>
    <x v="6"/>
    <x v="1"/>
    <s v="Closed"/>
    <n v="13.9"/>
  </r>
  <r>
    <n v="59"/>
    <x v="2"/>
    <x v="2"/>
    <s v="Open"/>
    <m/>
  </r>
  <r>
    <n v="60"/>
    <x v="8"/>
    <x v="1"/>
    <s v="Open"/>
    <m/>
  </r>
  <r>
    <n v="61"/>
    <x v="1"/>
    <x v="1"/>
    <s v="Closed"/>
    <n v="4.8"/>
  </r>
  <r>
    <n v="62"/>
    <x v="3"/>
    <x v="3"/>
    <s v="Open"/>
    <m/>
  </r>
  <r>
    <n v="63"/>
    <x v="0"/>
    <x v="4"/>
    <s v="Closed"/>
    <n v="1.5"/>
  </r>
  <r>
    <n v="64"/>
    <x v="1"/>
    <x v="3"/>
    <s v="Closed"/>
    <n v="4.3"/>
  </r>
  <r>
    <n v="65"/>
    <x v="8"/>
    <x v="2"/>
    <s v="Closed"/>
    <n v="9.1999999999999993"/>
  </r>
  <r>
    <n v="66"/>
    <x v="8"/>
    <x v="3"/>
    <s v="Closed"/>
    <n v="14.8"/>
  </r>
  <r>
    <n v="67"/>
    <x v="8"/>
    <x v="0"/>
    <s v="Pending"/>
    <m/>
  </r>
  <r>
    <n v="68"/>
    <x v="0"/>
    <x v="0"/>
    <s v="Pending"/>
    <m/>
  </r>
  <r>
    <n v="69"/>
    <x v="1"/>
    <x v="0"/>
    <s v="Closed"/>
    <n v="3.7"/>
  </r>
  <r>
    <n v="70"/>
    <x v="8"/>
    <x v="4"/>
    <s v="Closed"/>
    <n v="17.3"/>
  </r>
  <r>
    <n v="71"/>
    <x v="7"/>
    <x v="0"/>
    <s v="Open"/>
    <m/>
  </r>
  <r>
    <n v="72"/>
    <x v="3"/>
    <x v="0"/>
    <s v="Closed"/>
    <n v="2.9"/>
  </r>
  <r>
    <n v="73"/>
    <x v="4"/>
    <x v="4"/>
    <s v="Open"/>
    <m/>
  </r>
  <r>
    <n v="74"/>
    <x v="8"/>
    <x v="2"/>
    <s v="Closed"/>
    <n v="7"/>
  </r>
  <r>
    <n v="75"/>
    <x v="0"/>
    <x v="1"/>
    <s v="Pending"/>
    <m/>
  </r>
  <r>
    <n v="76"/>
    <x v="0"/>
    <x v="2"/>
    <s v="Closed"/>
    <n v="1.2"/>
  </r>
  <r>
    <n v="77"/>
    <x v="8"/>
    <x v="2"/>
    <s v="Pending"/>
    <m/>
  </r>
  <r>
    <n v="78"/>
    <x v="7"/>
    <x v="2"/>
    <s v="Closed"/>
    <n v="2.1"/>
  </r>
  <r>
    <n v="79"/>
    <x v="7"/>
    <x v="0"/>
    <s v="Closed"/>
    <n v="1.6"/>
  </r>
  <r>
    <n v="80"/>
    <x v="3"/>
    <x v="1"/>
    <s v="Closed"/>
    <n v="2.5"/>
  </r>
  <r>
    <n v="81"/>
    <x v="9"/>
    <x v="2"/>
    <s v="Pending"/>
    <m/>
  </r>
  <r>
    <n v="82"/>
    <x v="0"/>
    <x v="2"/>
    <s v="Pending"/>
    <m/>
  </r>
  <r>
    <n v="83"/>
    <x v="3"/>
    <x v="0"/>
    <s v="Pending"/>
    <m/>
  </r>
  <r>
    <n v="84"/>
    <x v="6"/>
    <x v="2"/>
    <s v="Closed"/>
    <n v="20.100000000000001"/>
  </r>
  <r>
    <n v="85"/>
    <x v="5"/>
    <x v="1"/>
    <s v="Closed"/>
    <n v="15.5"/>
  </r>
  <r>
    <n v="86"/>
    <x v="4"/>
    <x v="1"/>
    <s v="Open"/>
    <m/>
  </r>
  <r>
    <n v="87"/>
    <x v="1"/>
    <x v="3"/>
    <s v="Closed"/>
    <n v="5.6"/>
  </r>
  <r>
    <n v="88"/>
    <x v="1"/>
    <x v="2"/>
    <s v="Closed"/>
    <n v="5.4"/>
  </r>
  <r>
    <n v="89"/>
    <x v="4"/>
    <x v="2"/>
    <s v="Closed"/>
    <n v="25.2"/>
  </r>
  <r>
    <n v="90"/>
    <x v="9"/>
    <x v="0"/>
    <s v="Closed"/>
    <n v="1.3"/>
  </r>
  <r>
    <n v="91"/>
    <x v="6"/>
    <x v="4"/>
    <s v="Closed"/>
    <n v="20.2"/>
  </r>
  <r>
    <n v="92"/>
    <x v="0"/>
    <x v="2"/>
    <s v="Pending"/>
    <m/>
  </r>
  <r>
    <n v="93"/>
    <x v="1"/>
    <x v="3"/>
    <s v="Closed"/>
    <n v="4.7"/>
  </r>
  <r>
    <n v="94"/>
    <x v="6"/>
    <x v="0"/>
    <s v="Closed"/>
    <n v="10.5"/>
  </r>
  <r>
    <n v="95"/>
    <x v="9"/>
    <x v="2"/>
    <s v="Closed"/>
    <n v="1.3"/>
  </r>
  <r>
    <n v="96"/>
    <x v="6"/>
    <x v="3"/>
    <s v="Open"/>
    <m/>
  </r>
  <r>
    <n v="97"/>
    <x v="0"/>
    <x v="3"/>
    <s v="Closed"/>
    <n v="2.6"/>
  </r>
  <r>
    <n v="98"/>
    <x v="0"/>
    <x v="3"/>
    <s v="Closed"/>
    <n v="1.9"/>
  </r>
  <r>
    <n v="99"/>
    <x v="4"/>
    <x v="1"/>
    <s v="Closed"/>
    <n v="18"/>
  </r>
  <r>
    <n v="100"/>
    <x v="3"/>
    <x v="2"/>
    <s v="Pending"/>
    <m/>
  </r>
  <r>
    <n v="101"/>
    <x v="1"/>
    <x v="0"/>
    <s v="Closed"/>
    <n v="6.8"/>
  </r>
  <r>
    <n v="102"/>
    <x v="6"/>
    <x v="1"/>
    <s v="Closed"/>
    <n v="15.2"/>
  </r>
  <r>
    <n v="103"/>
    <x v="6"/>
    <x v="2"/>
    <s v="Closed"/>
    <n v="13.2"/>
  </r>
  <r>
    <n v="104"/>
    <x v="4"/>
    <x v="0"/>
    <s v="Closed"/>
    <n v="23.5"/>
  </r>
  <r>
    <n v="105"/>
    <x v="5"/>
    <x v="0"/>
    <s v="Closed"/>
    <n v="24.9"/>
  </r>
  <r>
    <n v="106"/>
    <x v="5"/>
    <x v="0"/>
    <s v="Pending"/>
    <m/>
  </r>
  <r>
    <n v="107"/>
    <x v="2"/>
    <x v="4"/>
    <s v="Closed"/>
    <n v="57.7"/>
  </r>
  <r>
    <n v="108"/>
    <x v="7"/>
    <x v="1"/>
    <s v="Closed"/>
    <n v="1.6"/>
  </r>
  <r>
    <n v="109"/>
    <x v="7"/>
    <x v="0"/>
    <s v="Closed"/>
    <n v="1.8"/>
  </r>
  <r>
    <n v="110"/>
    <x v="9"/>
    <x v="4"/>
    <s v="Closed"/>
    <n v="1.6"/>
  </r>
  <r>
    <n v="111"/>
    <x v="3"/>
    <x v="0"/>
    <s v="Closed"/>
    <n v="2.7"/>
  </r>
  <r>
    <n v="112"/>
    <x v="9"/>
    <x v="1"/>
    <s v="Open"/>
    <m/>
  </r>
  <r>
    <n v="113"/>
    <x v="4"/>
    <x v="3"/>
    <s v="Closed"/>
    <n v="15.3"/>
  </r>
  <r>
    <n v="114"/>
    <x v="3"/>
    <x v="1"/>
    <s v="Closed"/>
    <n v="1.3"/>
  </r>
  <r>
    <n v="115"/>
    <x v="4"/>
    <x v="0"/>
    <s v="Closed"/>
    <n v="19.600000000000001"/>
  </r>
  <r>
    <n v="116"/>
    <x v="6"/>
    <x v="4"/>
    <s v="Closed"/>
    <n v="25.9"/>
  </r>
  <r>
    <n v="117"/>
    <x v="4"/>
    <x v="0"/>
    <s v="Closed"/>
    <n v="18.7"/>
  </r>
  <r>
    <n v="118"/>
    <x v="0"/>
    <x v="3"/>
    <s v="Closed"/>
    <n v="2.5"/>
  </r>
  <r>
    <n v="119"/>
    <x v="5"/>
    <x v="3"/>
    <s v="Open"/>
    <m/>
  </r>
  <r>
    <n v="120"/>
    <x v="6"/>
    <x v="2"/>
    <s v="Closed"/>
    <n v="12.6"/>
  </r>
  <r>
    <n v="121"/>
    <x v="9"/>
    <x v="2"/>
    <s v="Closed"/>
    <n v="1.1000000000000001"/>
  </r>
  <r>
    <n v="122"/>
    <x v="0"/>
    <x v="4"/>
    <s v="Pending"/>
    <m/>
  </r>
  <r>
    <n v="123"/>
    <x v="9"/>
    <x v="2"/>
    <s v="Closed"/>
    <n v="1.5"/>
  </r>
  <r>
    <n v="124"/>
    <x v="2"/>
    <x v="3"/>
    <s v="Closed"/>
    <n v="40.1"/>
  </r>
  <r>
    <n v="125"/>
    <x v="4"/>
    <x v="0"/>
    <s v="Pending"/>
    <m/>
  </r>
  <r>
    <n v="126"/>
    <x v="3"/>
    <x v="3"/>
    <s v="Closed"/>
    <n v="2.1"/>
  </r>
  <r>
    <n v="127"/>
    <x v="6"/>
    <x v="3"/>
    <s v="Closed"/>
    <n v="10.9"/>
  </r>
  <r>
    <n v="128"/>
    <x v="7"/>
    <x v="4"/>
    <s v="Pending"/>
    <m/>
  </r>
  <r>
    <n v="129"/>
    <x v="4"/>
    <x v="2"/>
    <s v="Open"/>
    <m/>
  </r>
  <r>
    <n v="130"/>
    <x v="0"/>
    <x v="2"/>
    <s v="Closed"/>
    <n v="1.7"/>
  </r>
  <r>
    <n v="131"/>
    <x v="2"/>
    <x v="4"/>
    <s v="Pending"/>
    <m/>
  </r>
  <r>
    <n v="132"/>
    <x v="8"/>
    <x v="3"/>
    <s v="Open"/>
    <m/>
  </r>
  <r>
    <n v="133"/>
    <x v="9"/>
    <x v="4"/>
    <s v="Pending"/>
    <m/>
  </r>
  <r>
    <n v="134"/>
    <x v="7"/>
    <x v="4"/>
    <s v="Closed"/>
    <n v="1.7"/>
  </r>
  <r>
    <n v="135"/>
    <x v="5"/>
    <x v="2"/>
    <s v="Closed"/>
    <n v="28.4"/>
  </r>
  <r>
    <n v="136"/>
    <x v="4"/>
    <x v="1"/>
    <s v="Closed"/>
    <n v="18.8"/>
  </r>
  <r>
    <n v="137"/>
    <x v="0"/>
    <x v="1"/>
    <s v="Closed"/>
    <n v="1.3"/>
  </r>
  <r>
    <n v="138"/>
    <x v="2"/>
    <x v="4"/>
    <s v="Closed"/>
    <n v="38.700000000000003"/>
  </r>
  <r>
    <n v="139"/>
    <x v="9"/>
    <x v="2"/>
    <s v="Open"/>
    <m/>
  </r>
  <r>
    <n v="140"/>
    <x v="3"/>
    <x v="4"/>
    <s v="Closed"/>
    <n v="1.7"/>
  </r>
  <r>
    <n v="141"/>
    <x v="1"/>
    <x v="0"/>
    <s v="Open"/>
    <m/>
  </r>
  <r>
    <n v="142"/>
    <x v="7"/>
    <x v="1"/>
    <s v="Pending"/>
    <m/>
  </r>
  <r>
    <n v="143"/>
    <x v="0"/>
    <x v="4"/>
    <s v="Pending"/>
    <m/>
  </r>
  <r>
    <n v="144"/>
    <x v="1"/>
    <x v="1"/>
    <s v="Open"/>
    <m/>
  </r>
  <r>
    <n v="145"/>
    <x v="8"/>
    <x v="1"/>
    <s v="Pending"/>
    <m/>
  </r>
  <r>
    <n v="146"/>
    <x v="2"/>
    <x v="2"/>
    <s v="Closed"/>
    <n v="45.7"/>
  </r>
  <r>
    <n v="147"/>
    <x v="2"/>
    <x v="4"/>
    <s v="Pending"/>
    <m/>
  </r>
  <r>
    <n v="148"/>
    <x v="6"/>
    <x v="4"/>
    <s v="Open"/>
    <m/>
  </r>
  <r>
    <n v="149"/>
    <x v="8"/>
    <x v="1"/>
    <s v="Open"/>
    <m/>
  </r>
  <r>
    <n v="150"/>
    <x v="9"/>
    <x v="3"/>
    <s v="Closed"/>
    <n v="2"/>
  </r>
  <r>
    <n v="151"/>
    <x v="8"/>
    <x v="2"/>
    <s v="Closed"/>
    <n v="7.8"/>
  </r>
  <r>
    <n v="152"/>
    <x v="4"/>
    <x v="0"/>
    <s v="Closed"/>
    <n v="14.1"/>
  </r>
  <r>
    <n v="153"/>
    <x v="6"/>
    <x v="3"/>
    <s v="Closed"/>
    <n v="10.1"/>
  </r>
  <r>
    <n v="154"/>
    <x v="3"/>
    <x v="1"/>
    <s v="Closed"/>
    <n v="2.1"/>
  </r>
  <r>
    <n v="155"/>
    <x v="3"/>
    <x v="0"/>
    <s v="Open"/>
    <m/>
  </r>
  <r>
    <n v="156"/>
    <x v="6"/>
    <x v="3"/>
    <s v="Open"/>
    <m/>
  </r>
  <r>
    <n v="157"/>
    <x v="0"/>
    <x v="4"/>
    <s v="Closed"/>
    <n v="3.6"/>
  </r>
  <r>
    <n v="158"/>
    <x v="2"/>
    <x v="4"/>
    <s v="Closed"/>
    <n v="54.9"/>
  </r>
  <r>
    <n v="159"/>
    <x v="3"/>
    <x v="2"/>
    <s v="Open"/>
    <m/>
  </r>
  <r>
    <n v="160"/>
    <x v="5"/>
    <x v="0"/>
    <s v="Closed"/>
    <n v="26.1"/>
  </r>
  <r>
    <n v="161"/>
    <x v="6"/>
    <x v="4"/>
    <s v="Pending"/>
    <m/>
  </r>
  <r>
    <n v="162"/>
    <x v="9"/>
    <x v="2"/>
    <s v="Open"/>
    <m/>
  </r>
  <r>
    <n v="163"/>
    <x v="4"/>
    <x v="1"/>
    <s v="Open"/>
    <m/>
  </r>
  <r>
    <n v="164"/>
    <x v="0"/>
    <x v="4"/>
    <s v="Open"/>
    <m/>
  </r>
  <r>
    <n v="165"/>
    <x v="3"/>
    <x v="3"/>
    <s v="Closed"/>
    <n v="3.1"/>
  </r>
  <r>
    <n v="166"/>
    <x v="2"/>
    <x v="1"/>
    <s v="Pending"/>
    <m/>
  </r>
  <r>
    <n v="167"/>
    <x v="3"/>
    <x v="0"/>
    <s v="Pending"/>
    <m/>
  </r>
  <r>
    <n v="168"/>
    <x v="0"/>
    <x v="2"/>
    <s v="Closed"/>
    <n v="2.4"/>
  </r>
  <r>
    <n v="169"/>
    <x v="8"/>
    <x v="1"/>
    <s v="Closed"/>
    <n v="4.5999999999999996"/>
  </r>
  <r>
    <n v="170"/>
    <x v="5"/>
    <x v="4"/>
    <s v="Closed"/>
    <n v="28.7"/>
  </r>
  <r>
    <n v="171"/>
    <x v="3"/>
    <x v="3"/>
    <s v="Closed"/>
    <n v="2.9"/>
  </r>
  <r>
    <n v="172"/>
    <x v="4"/>
    <x v="4"/>
    <s v="Closed"/>
    <n v="23"/>
  </r>
  <r>
    <n v="173"/>
    <x v="0"/>
    <x v="2"/>
    <s v="Closed"/>
    <n v="1.5"/>
  </r>
  <r>
    <n v="174"/>
    <x v="0"/>
    <x v="0"/>
    <s v="Closed"/>
    <n v="2.9"/>
  </r>
  <r>
    <n v="175"/>
    <x v="0"/>
    <x v="1"/>
    <s v="Pending"/>
    <m/>
  </r>
  <r>
    <n v="176"/>
    <x v="9"/>
    <x v="1"/>
    <s v="Closed"/>
    <n v="1.3"/>
  </r>
  <r>
    <n v="177"/>
    <x v="2"/>
    <x v="0"/>
    <s v="Closed"/>
    <n v="29"/>
  </r>
  <r>
    <n v="178"/>
    <x v="5"/>
    <x v="3"/>
    <s v="Closed"/>
    <n v="27.2"/>
  </r>
  <r>
    <n v="179"/>
    <x v="7"/>
    <x v="0"/>
    <s v="Closed"/>
    <n v="1.1000000000000001"/>
  </r>
  <r>
    <n v="180"/>
    <x v="4"/>
    <x v="0"/>
    <s v="Pending"/>
    <m/>
  </r>
  <r>
    <n v="181"/>
    <x v="3"/>
    <x v="4"/>
    <s v="Closed"/>
    <n v="1.6"/>
  </r>
  <r>
    <n v="182"/>
    <x v="1"/>
    <x v="1"/>
    <s v="Closed"/>
    <n v="5.4"/>
  </r>
  <r>
    <n v="183"/>
    <x v="1"/>
    <x v="2"/>
    <s v="Pending"/>
    <m/>
  </r>
  <r>
    <n v="184"/>
    <x v="5"/>
    <x v="0"/>
    <s v="Pending"/>
    <m/>
  </r>
  <r>
    <n v="185"/>
    <x v="5"/>
    <x v="4"/>
    <s v="Closed"/>
    <n v="29.8"/>
  </r>
  <r>
    <n v="186"/>
    <x v="0"/>
    <x v="3"/>
    <s v="Open"/>
    <m/>
  </r>
  <r>
    <n v="187"/>
    <x v="1"/>
    <x v="4"/>
    <s v="Open"/>
    <m/>
  </r>
  <r>
    <n v="188"/>
    <x v="8"/>
    <x v="3"/>
    <s v="Closed"/>
    <n v="10.3"/>
  </r>
  <r>
    <n v="189"/>
    <x v="4"/>
    <x v="2"/>
    <s v="Pending"/>
    <m/>
  </r>
  <r>
    <n v="190"/>
    <x v="8"/>
    <x v="2"/>
    <s v="Open"/>
    <m/>
  </r>
  <r>
    <n v="191"/>
    <x v="2"/>
    <x v="4"/>
    <s v="Closed"/>
    <n v="33.299999999999997"/>
  </r>
  <r>
    <n v="192"/>
    <x v="1"/>
    <x v="1"/>
    <s v="Closed"/>
    <n v="5.5"/>
  </r>
  <r>
    <n v="193"/>
    <x v="8"/>
    <x v="1"/>
    <s v="Pending"/>
    <m/>
  </r>
  <r>
    <n v="194"/>
    <x v="3"/>
    <x v="2"/>
    <s v="Closed"/>
    <n v="1.1000000000000001"/>
  </r>
  <r>
    <n v="195"/>
    <x v="7"/>
    <x v="3"/>
    <s v="Open"/>
    <m/>
  </r>
  <r>
    <n v="196"/>
    <x v="5"/>
    <x v="1"/>
    <s v="Closed"/>
    <n v="16.5"/>
  </r>
  <r>
    <n v="197"/>
    <x v="4"/>
    <x v="2"/>
    <s v="Pending"/>
    <m/>
  </r>
  <r>
    <n v="198"/>
    <x v="6"/>
    <x v="0"/>
    <s v="Closed"/>
    <n v="8.1"/>
  </r>
  <r>
    <n v="199"/>
    <x v="8"/>
    <x v="4"/>
    <s v="Pending"/>
    <m/>
  </r>
  <r>
    <n v="200"/>
    <x v="8"/>
    <x v="1"/>
    <s v="Open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4E9E0-6D06-4E58-8A79-E546EAAB340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L10" firstHeaderRow="1" firstDataRow="2" firstDataCol="1"/>
  <pivotFields count="5">
    <pivotField showAll="0"/>
    <pivotField axis="axisCol" showAll="0" sortType="descending">
      <items count="11">
        <item x="7"/>
        <item x="6"/>
        <item x="1"/>
        <item x="9"/>
        <item x="0"/>
        <item x="3"/>
        <item x="2"/>
        <item x="5"/>
        <item x="8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3"/>
            </reference>
          </references>
        </pivotArea>
      </autoSortScope>
    </pivotField>
    <pivotField axis="axisRow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2"/>
  </rowFields>
  <rowItems count="6">
    <i>
      <x/>
    </i>
    <i>
      <x v="4"/>
    </i>
    <i>
      <x v="1"/>
    </i>
    <i>
      <x v="3"/>
    </i>
    <i>
      <x v="2"/>
    </i>
    <i t="grand">
      <x/>
    </i>
  </rowItems>
  <colFields count="1">
    <field x="1"/>
  </colFields>
  <colItems count="11">
    <i>
      <x v="6"/>
    </i>
    <i>
      <x v="7"/>
    </i>
    <i>
      <x v="9"/>
    </i>
    <i>
      <x v="1"/>
    </i>
    <i>
      <x v="8"/>
    </i>
    <i>
      <x v="2"/>
    </i>
    <i>
      <x v="5"/>
    </i>
    <i>
      <x v="4"/>
    </i>
    <i>
      <x v="3"/>
    </i>
    <i>
      <x/>
    </i>
    <i t="grand">
      <x/>
    </i>
  </colItems>
  <dataFields count="1">
    <dataField name="Average of Days to Close" fld="4" subtotal="average" baseField="2" baseItem="0" numFmtId="2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B1" workbookViewId="0">
      <pane ySplit="1" topLeftCell="A2" activePane="bottomLeft" state="frozen"/>
      <selection pane="bottomLeft" activeCell="I7" sqref="I7"/>
    </sheetView>
  </sheetViews>
  <sheetFormatPr defaultRowHeight="14.4" x14ac:dyDescent="0.3"/>
  <cols>
    <col min="1" max="1" width="14" customWidth="1"/>
    <col min="2" max="2" width="28" customWidth="1"/>
    <col min="3" max="3" width="16" customWidth="1"/>
    <col min="4" max="4" width="10" customWidth="1"/>
    <col min="5" max="5" width="16" customWidth="1"/>
    <col min="7" max="7" width="20.21875" bestFit="1" customWidth="1"/>
    <col min="8" max="8" width="30.21875" bestFit="1" customWidth="1"/>
    <col min="9" max="9" width="35.77734375" bestFit="1" customWidth="1"/>
    <col min="10" max="10" width="3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3">
      <c r="A2" s="2">
        <v>1</v>
      </c>
      <c r="B2" s="2" t="s">
        <v>5</v>
      </c>
      <c r="C2" s="2" t="s">
        <v>6</v>
      </c>
      <c r="D2" s="2" t="s">
        <v>7</v>
      </c>
      <c r="E2" s="2">
        <v>1.5</v>
      </c>
    </row>
    <row r="3" spans="1:10" x14ac:dyDescent="0.3">
      <c r="A3" s="3">
        <v>2</v>
      </c>
      <c r="B3" s="3" t="s">
        <v>8</v>
      </c>
      <c r="C3" s="3" t="s">
        <v>9</v>
      </c>
      <c r="D3" s="3" t="s">
        <v>10</v>
      </c>
      <c r="E3" s="3"/>
    </row>
    <row r="4" spans="1:10" x14ac:dyDescent="0.3">
      <c r="A4" s="2">
        <v>3</v>
      </c>
      <c r="B4" s="2" t="s">
        <v>11</v>
      </c>
      <c r="C4" s="2" t="s">
        <v>6</v>
      </c>
      <c r="D4" s="2" t="s">
        <v>12</v>
      </c>
      <c r="E4" s="2"/>
    </row>
    <row r="5" spans="1:10" x14ac:dyDescent="0.3">
      <c r="A5" s="3">
        <v>4</v>
      </c>
      <c r="B5" s="3" t="s">
        <v>5</v>
      </c>
      <c r="C5" s="3" t="s">
        <v>6</v>
      </c>
      <c r="D5" s="3" t="s">
        <v>7</v>
      </c>
      <c r="E5" s="3">
        <v>1.4</v>
      </c>
    </row>
    <row r="6" spans="1:10" x14ac:dyDescent="0.3">
      <c r="A6" s="2">
        <v>5</v>
      </c>
      <c r="B6" s="2" t="s">
        <v>11</v>
      </c>
      <c r="C6" s="2" t="s">
        <v>13</v>
      </c>
      <c r="D6" s="2" t="s">
        <v>7</v>
      </c>
      <c r="E6" s="2">
        <v>33.4</v>
      </c>
    </row>
    <row r="7" spans="1:10" x14ac:dyDescent="0.3">
      <c r="A7" s="3">
        <v>6</v>
      </c>
      <c r="B7" s="3" t="s">
        <v>14</v>
      </c>
      <c r="C7" s="3" t="s">
        <v>13</v>
      </c>
      <c r="D7" s="3" t="s">
        <v>7</v>
      </c>
      <c r="E7" s="3">
        <v>2</v>
      </c>
      <c r="G7" s="8" t="s">
        <v>1</v>
      </c>
      <c r="H7" t="s">
        <v>24</v>
      </c>
      <c r="I7" t="s">
        <v>23</v>
      </c>
      <c r="J7" t="s">
        <v>25</v>
      </c>
    </row>
    <row r="8" spans="1:10" x14ac:dyDescent="0.3">
      <c r="A8" s="2">
        <v>7</v>
      </c>
      <c r="B8" s="2" t="s">
        <v>5</v>
      </c>
      <c r="C8" s="2" t="s">
        <v>15</v>
      </c>
      <c r="D8" s="2" t="s">
        <v>7</v>
      </c>
      <c r="E8" s="2">
        <v>2.8</v>
      </c>
      <c r="G8" t="str" cm="1">
        <f t="array" ref="G8:G17">_xlfn.UNIQUE(B2:B201)</f>
        <v>Noise - Residential</v>
      </c>
      <c r="H8" cm="1">
        <f t="array" ref="H8:H17">COUNTIF($B$2:$B$201,_xlfn.ANCHORARRAY( G8))</f>
        <v>29</v>
      </c>
      <c r="I8" s="4" cm="1">
        <f t="array" ref="I8:I17">AVERAGEIFS(E2:E201, B2:B201,_xlfn.ANCHORARRAY( G8), D2:D201, "Closed")</f>
        <v>2.2277777777777774</v>
      </c>
      <c r="J8" s="4" cm="1">
        <f t="array" ref="J8:J12">AVERAGEIFS(E2:E201, C2:C201,_xlfn.ANCHORARRAY( G20), D2:D201, "Closed")</f>
        <v>9.9559999999999977</v>
      </c>
    </row>
    <row r="9" spans="1:10" x14ac:dyDescent="0.3">
      <c r="A9" s="3">
        <v>8</v>
      </c>
      <c r="B9" s="3" t="s">
        <v>16</v>
      </c>
      <c r="C9" s="3" t="s">
        <v>15</v>
      </c>
      <c r="D9" s="3" t="s">
        <v>7</v>
      </c>
      <c r="E9" s="3">
        <v>15.2</v>
      </c>
      <c r="G9" t="str">
        <v>HEAT/HOT WATER</v>
      </c>
      <c r="H9">
        <v>24</v>
      </c>
      <c r="I9" s="4">
        <v>5.5125000000000002</v>
      </c>
      <c r="J9" s="4">
        <v>7.9590909090909099</v>
      </c>
    </row>
    <row r="10" spans="1:10" x14ac:dyDescent="0.3">
      <c r="A10" s="2">
        <v>9</v>
      </c>
      <c r="B10" s="2" t="s">
        <v>8</v>
      </c>
      <c r="C10" s="2" t="s">
        <v>15</v>
      </c>
      <c r="D10" s="2" t="s">
        <v>7</v>
      </c>
      <c r="E10" s="2">
        <v>5.2</v>
      </c>
      <c r="G10" t="str">
        <v>Pothole</v>
      </c>
      <c r="H10">
        <v>14</v>
      </c>
      <c r="I10" s="4">
        <v>41.599999999999994</v>
      </c>
      <c r="J10" s="4">
        <v>10.607692307692307</v>
      </c>
    </row>
    <row r="11" spans="1:10" x14ac:dyDescent="0.3">
      <c r="A11" s="3">
        <v>10</v>
      </c>
      <c r="B11" s="3" t="s">
        <v>17</v>
      </c>
      <c r="C11" s="3" t="s">
        <v>15</v>
      </c>
      <c r="D11" s="3" t="s">
        <v>10</v>
      </c>
      <c r="E11" s="3"/>
      <c r="G11" t="str">
        <v>Noise - Street/Sidewalk</v>
      </c>
      <c r="H11">
        <v>22</v>
      </c>
      <c r="I11" s="4">
        <v>2.1785714285714293</v>
      </c>
      <c r="J11" s="4">
        <v>8.6653846153846139</v>
      </c>
    </row>
    <row r="12" spans="1:10" x14ac:dyDescent="0.3">
      <c r="A12" s="2">
        <v>11</v>
      </c>
      <c r="B12" s="2" t="s">
        <v>5</v>
      </c>
      <c r="C12" s="2" t="s">
        <v>15</v>
      </c>
      <c r="D12" s="2" t="s">
        <v>12</v>
      </c>
      <c r="E12" s="2"/>
      <c r="G12" t="str">
        <v>Street Light Condition</v>
      </c>
      <c r="H12">
        <v>22</v>
      </c>
      <c r="I12" s="4">
        <v>19.14</v>
      </c>
      <c r="J12" s="4">
        <v>18.023809523809526</v>
      </c>
    </row>
    <row r="13" spans="1:10" x14ac:dyDescent="0.3">
      <c r="A13" s="3">
        <v>12</v>
      </c>
      <c r="B13" s="3" t="s">
        <v>8</v>
      </c>
      <c r="C13" s="3" t="s">
        <v>13</v>
      </c>
      <c r="D13" s="3" t="s">
        <v>12</v>
      </c>
      <c r="E13" s="3"/>
      <c r="G13" t="str">
        <v>Rodent</v>
      </c>
      <c r="H13">
        <v>16</v>
      </c>
      <c r="I13" s="4">
        <v>23.779999999999998</v>
      </c>
    </row>
    <row r="14" spans="1:10" x14ac:dyDescent="0.3">
      <c r="A14" s="2">
        <v>13</v>
      </c>
      <c r="B14" s="2" t="s">
        <v>18</v>
      </c>
      <c r="C14" s="2" t="s">
        <v>6</v>
      </c>
      <c r="D14" s="2" t="s">
        <v>7</v>
      </c>
      <c r="E14" s="2">
        <v>17.8</v>
      </c>
      <c r="G14" t="str">
        <v>Graffiti</v>
      </c>
      <c r="H14">
        <v>26</v>
      </c>
      <c r="I14" s="4">
        <v>14.494736842105262</v>
      </c>
    </row>
    <row r="15" spans="1:10" x14ac:dyDescent="0.3">
      <c r="A15" s="3">
        <v>14</v>
      </c>
      <c r="B15" s="3" t="s">
        <v>17</v>
      </c>
      <c r="C15" s="3" t="s">
        <v>13</v>
      </c>
      <c r="D15" s="3" t="s">
        <v>10</v>
      </c>
      <c r="E15" s="3"/>
      <c r="G15" t="str">
        <v>Blocked Driveway</v>
      </c>
      <c r="H15">
        <v>12</v>
      </c>
      <c r="I15" s="4">
        <v>1.625</v>
      </c>
    </row>
    <row r="16" spans="1:10" x14ac:dyDescent="0.3">
      <c r="A16" s="2">
        <v>15</v>
      </c>
      <c r="B16" s="2" t="s">
        <v>8</v>
      </c>
      <c r="C16" s="2" t="s">
        <v>9</v>
      </c>
      <c r="D16" s="2" t="s">
        <v>7</v>
      </c>
      <c r="E16" s="2">
        <v>4.8</v>
      </c>
      <c r="G16" t="str">
        <v>Sanitation Condition</v>
      </c>
      <c r="H16">
        <v>20</v>
      </c>
      <c r="I16" s="4">
        <v>10.124999999999998</v>
      </c>
    </row>
    <row r="17" spans="1:9" x14ac:dyDescent="0.3">
      <c r="A17" s="3">
        <v>16</v>
      </c>
      <c r="B17" s="3" t="s">
        <v>8</v>
      </c>
      <c r="C17" s="3" t="s">
        <v>15</v>
      </c>
      <c r="D17" s="3" t="s">
        <v>7</v>
      </c>
      <c r="E17" s="3">
        <v>7.4</v>
      </c>
      <c r="G17" t="str">
        <v>Illegal Parking</v>
      </c>
      <c r="H17">
        <v>15</v>
      </c>
      <c r="I17" s="4">
        <v>1.4888888888888889</v>
      </c>
    </row>
    <row r="18" spans="1:9" x14ac:dyDescent="0.3">
      <c r="A18" s="2">
        <v>17</v>
      </c>
      <c r="B18" s="2" t="s">
        <v>16</v>
      </c>
      <c r="C18" s="2" t="s">
        <v>19</v>
      </c>
      <c r="D18" s="2" t="s">
        <v>12</v>
      </c>
      <c r="E18" s="2"/>
    </row>
    <row r="19" spans="1:9" x14ac:dyDescent="0.3">
      <c r="A19" s="3">
        <v>18</v>
      </c>
      <c r="B19" s="3" t="s">
        <v>20</v>
      </c>
      <c r="C19" s="3" t="s">
        <v>15</v>
      </c>
      <c r="D19" s="3" t="s">
        <v>7</v>
      </c>
      <c r="E19" s="3">
        <v>1.6</v>
      </c>
      <c r="G19" s="7" t="s">
        <v>31</v>
      </c>
      <c r="H19" t="s">
        <v>26</v>
      </c>
    </row>
    <row r="20" spans="1:9" x14ac:dyDescent="0.3">
      <c r="A20" s="2">
        <v>19</v>
      </c>
      <c r="B20" s="2" t="s">
        <v>8</v>
      </c>
      <c r="C20" s="2" t="s">
        <v>15</v>
      </c>
      <c r="D20" s="2" t="s">
        <v>10</v>
      </c>
      <c r="E20" s="2"/>
      <c r="G20" t="str" cm="1">
        <f t="array" ref="G20:G24">_xlfn.UNIQUE(C2:C201)</f>
        <v>BROOKLYN</v>
      </c>
      <c r="H20" cm="1">
        <f t="array" ref="H20:H24">COUNTIF($C$2:$C$201,_xlfn.ANCHORARRAY( G20))</f>
        <v>39</v>
      </c>
    </row>
    <row r="21" spans="1:9" x14ac:dyDescent="0.3">
      <c r="A21" s="3">
        <v>20</v>
      </c>
      <c r="B21" s="3" t="s">
        <v>18</v>
      </c>
      <c r="C21" s="3" t="s">
        <v>9</v>
      </c>
      <c r="D21" s="3" t="s">
        <v>7</v>
      </c>
      <c r="E21" s="3">
        <v>7.8</v>
      </c>
      <c r="G21" t="str">
        <v>MANHATTAN</v>
      </c>
      <c r="H21">
        <v>41</v>
      </c>
    </row>
    <row r="22" spans="1:9" x14ac:dyDescent="0.3">
      <c r="A22" s="2">
        <v>21</v>
      </c>
      <c r="B22" s="2" t="s">
        <v>16</v>
      </c>
      <c r="C22" s="2" t="s">
        <v>19</v>
      </c>
      <c r="D22" s="2" t="s">
        <v>10</v>
      </c>
      <c r="E22" s="2"/>
      <c r="G22" t="str">
        <v>STATEN ISLAND</v>
      </c>
      <c r="H22">
        <v>44</v>
      </c>
    </row>
    <row r="23" spans="1:9" x14ac:dyDescent="0.3">
      <c r="A23" s="3">
        <v>22</v>
      </c>
      <c r="B23" s="3" t="s">
        <v>17</v>
      </c>
      <c r="C23" s="3" t="s">
        <v>9</v>
      </c>
      <c r="D23" s="3" t="s">
        <v>7</v>
      </c>
      <c r="E23" s="3">
        <v>15</v>
      </c>
      <c r="G23" t="str">
        <v>QUEENS</v>
      </c>
      <c r="H23">
        <v>41</v>
      </c>
    </row>
    <row r="24" spans="1:9" x14ac:dyDescent="0.3">
      <c r="A24" s="2">
        <v>23</v>
      </c>
      <c r="B24" s="2" t="s">
        <v>17</v>
      </c>
      <c r="C24" s="2" t="s">
        <v>6</v>
      </c>
      <c r="D24" s="2" t="s">
        <v>12</v>
      </c>
      <c r="E24" s="2"/>
      <c r="G24" t="str">
        <v>BRONX</v>
      </c>
      <c r="H24">
        <v>35</v>
      </c>
    </row>
    <row r="25" spans="1:9" x14ac:dyDescent="0.3">
      <c r="A25" s="3">
        <v>24</v>
      </c>
      <c r="B25" s="3" t="s">
        <v>8</v>
      </c>
      <c r="C25" s="3" t="s">
        <v>15</v>
      </c>
      <c r="D25" s="3" t="s">
        <v>7</v>
      </c>
      <c r="E25" s="3">
        <v>7.7</v>
      </c>
    </row>
    <row r="26" spans="1:9" x14ac:dyDescent="0.3">
      <c r="A26" s="2">
        <v>25</v>
      </c>
      <c r="B26" s="2" t="s">
        <v>17</v>
      </c>
      <c r="C26" s="2" t="s">
        <v>13</v>
      </c>
      <c r="D26" s="2" t="s">
        <v>7</v>
      </c>
      <c r="E26" s="2">
        <v>25.7</v>
      </c>
    </row>
    <row r="27" spans="1:9" x14ac:dyDescent="0.3">
      <c r="A27" s="3">
        <v>26</v>
      </c>
      <c r="B27" s="3" t="s">
        <v>21</v>
      </c>
      <c r="C27" s="3" t="s">
        <v>19</v>
      </c>
      <c r="D27" s="3" t="s">
        <v>7</v>
      </c>
      <c r="E27" s="3">
        <v>10</v>
      </c>
    </row>
    <row r="28" spans="1:9" x14ac:dyDescent="0.3">
      <c r="A28" s="2">
        <v>27</v>
      </c>
      <c r="B28" s="2" t="s">
        <v>18</v>
      </c>
      <c r="C28" s="2" t="s">
        <v>9</v>
      </c>
      <c r="D28" s="2" t="s">
        <v>10</v>
      </c>
      <c r="E28" s="2"/>
    </row>
    <row r="29" spans="1:9" x14ac:dyDescent="0.3">
      <c r="A29" s="3">
        <v>28</v>
      </c>
      <c r="B29" s="3" t="s">
        <v>11</v>
      </c>
      <c r="C29" s="3" t="s">
        <v>15</v>
      </c>
      <c r="D29" s="3" t="s">
        <v>12</v>
      </c>
      <c r="E29" s="3"/>
    </row>
    <row r="30" spans="1:9" x14ac:dyDescent="0.3">
      <c r="A30" s="2">
        <v>29</v>
      </c>
      <c r="B30" s="2" t="s">
        <v>14</v>
      </c>
      <c r="C30" s="2" t="s">
        <v>13</v>
      </c>
      <c r="D30" s="2" t="s">
        <v>7</v>
      </c>
      <c r="E30" s="2">
        <v>1.5</v>
      </c>
    </row>
    <row r="31" spans="1:9" x14ac:dyDescent="0.3">
      <c r="A31" s="3">
        <v>30</v>
      </c>
      <c r="B31" s="3" t="s">
        <v>18</v>
      </c>
      <c r="C31" s="3" t="s">
        <v>9</v>
      </c>
      <c r="D31" s="3" t="s">
        <v>12</v>
      </c>
      <c r="E31" s="3"/>
    </row>
    <row r="32" spans="1:9" x14ac:dyDescent="0.3">
      <c r="A32" s="2">
        <v>31</v>
      </c>
      <c r="B32" s="2" t="s">
        <v>5</v>
      </c>
      <c r="C32" s="2" t="s">
        <v>6</v>
      </c>
      <c r="D32" s="2" t="s">
        <v>7</v>
      </c>
      <c r="E32" s="2">
        <v>1.3</v>
      </c>
    </row>
    <row r="33" spans="1:5" x14ac:dyDescent="0.3">
      <c r="A33" s="3">
        <v>32</v>
      </c>
      <c r="B33" s="3" t="s">
        <v>14</v>
      </c>
      <c r="C33" s="3" t="s">
        <v>9</v>
      </c>
      <c r="D33" s="3" t="s">
        <v>10</v>
      </c>
      <c r="E33" s="3"/>
    </row>
    <row r="34" spans="1:5" x14ac:dyDescent="0.3">
      <c r="A34" s="2">
        <v>33</v>
      </c>
      <c r="B34" s="2" t="s">
        <v>14</v>
      </c>
      <c r="C34" s="2" t="s">
        <v>6</v>
      </c>
      <c r="D34" s="2" t="s">
        <v>12</v>
      </c>
      <c r="E34" s="2"/>
    </row>
    <row r="35" spans="1:5" x14ac:dyDescent="0.3">
      <c r="A35" s="3">
        <v>34</v>
      </c>
      <c r="B35" s="3" t="s">
        <v>21</v>
      </c>
      <c r="C35" s="3" t="s">
        <v>13</v>
      </c>
      <c r="D35" s="3" t="s">
        <v>10</v>
      </c>
      <c r="E35" s="3"/>
    </row>
    <row r="36" spans="1:5" x14ac:dyDescent="0.3">
      <c r="A36" s="2">
        <v>35</v>
      </c>
      <c r="B36" s="2" t="s">
        <v>18</v>
      </c>
      <c r="C36" s="2" t="s">
        <v>15</v>
      </c>
      <c r="D36" s="2" t="s">
        <v>7</v>
      </c>
      <c r="E36" s="2">
        <v>18.2</v>
      </c>
    </row>
    <row r="37" spans="1:5" x14ac:dyDescent="0.3">
      <c r="A37" s="3">
        <v>36</v>
      </c>
      <c r="B37" s="3" t="s">
        <v>18</v>
      </c>
      <c r="C37" s="3" t="s">
        <v>6</v>
      </c>
      <c r="D37" s="3" t="s">
        <v>7</v>
      </c>
      <c r="E37" s="3">
        <v>17</v>
      </c>
    </row>
    <row r="38" spans="1:5" x14ac:dyDescent="0.3">
      <c r="A38" s="2">
        <v>37</v>
      </c>
      <c r="B38" s="2" t="s">
        <v>8</v>
      </c>
      <c r="C38" s="2" t="s">
        <v>15</v>
      </c>
      <c r="D38" s="2" t="s">
        <v>7</v>
      </c>
      <c r="E38" s="2">
        <v>5.4</v>
      </c>
    </row>
    <row r="39" spans="1:5" x14ac:dyDescent="0.3">
      <c r="A39" s="3">
        <v>38</v>
      </c>
      <c r="B39" s="3" t="s">
        <v>5</v>
      </c>
      <c r="C39" s="3" t="s">
        <v>19</v>
      </c>
      <c r="D39" s="3" t="s">
        <v>7</v>
      </c>
      <c r="E39" s="3">
        <v>4</v>
      </c>
    </row>
    <row r="40" spans="1:5" x14ac:dyDescent="0.3">
      <c r="A40" s="2">
        <v>39</v>
      </c>
      <c r="B40" s="2" t="s">
        <v>18</v>
      </c>
      <c r="C40" s="2" t="s">
        <v>9</v>
      </c>
      <c r="D40" s="2" t="s">
        <v>7</v>
      </c>
      <c r="E40" s="2">
        <v>15.6</v>
      </c>
    </row>
    <row r="41" spans="1:5" x14ac:dyDescent="0.3">
      <c r="A41" s="3">
        <v>40</v>
      </c>
      <c r="B41" s="3" t="s">
        <v>18</v>
      </c>
      <c r="C41" s="3" t="s">
        <v>15</v>
      </c>
      <c r="D41" s="3" t="s">
        <v>10</v>
      </c>
      <c r="E41" s="3"/>
    </row>
    <row r="42" spans="1:5" x14ac:dyDescent="0.3">
      <c r="A42" s="2">
        <v>41</v>
      </c>
      <c r="B42" s="2" t="s">
        <v>20</v>
      </c>
      <c r="C42" s="2" t="s">
        <v>9</v>
      </c>
      <c r="D42" s="2" t="s">
        <v>7</v>
      </c>
      <c r="E42" s="2">
        <v>1.5</v>
      </c>
    </row>
    <row r="43" spans="1:5" x14ac:dyDescent="0.3">
      <c r="A43" s="3">
        <v>42</v>
      </c>
      <c r="B43" s="3" t="s">
        <v>18</v>
      </c>
      <c r="C43" s="3" t="s">
        <v>13</v>
      </c>
      <c r="D43" s="3" t="s">
        <v>7</v>
      </c>
      <c r="E43" s="3">
        <v>15.5</v>
      </c>
    </row>
    <row r="44" spans="1:5" x14ac:dyDescent="0.3">
      <c r="A44" s="2">
        <v>43</v>
      </c>
      <c r="B44" s="2" t="s">
        <v>5</v>
      </c>
      <c r="C44" s="2" t="s">
        <v>19</v>
      </c>
      <c r="D44" s="2" t="s">
        <v>7</v>
      </c>
      <c r="E44" s="2">
        <v>3.9</v>
      </c>
    </row>
    <row r="45" spans="1:5" x14ac:dyDescent="0.3">
      <c r="A45" s="3">
        <v>44</v>
      </c>
      <c r="B45" s="3" t="s">
        <v>22</v>
      </c>
      <c r="C45" s="3" t="s">
        <v>15</v>
      </c>
      <c r="D45" s="3" t="s">
        <v>7</v>
      </c>
      <c r="E45" s="3">
        <v>1.4</v>
      </c>
    </row>
    <row r="46" spans="1:5" x14ac:dyDescent="0.3">
      <c r="A46" s="2">
        <v>45</v>
      </c>
      <c r="B46" s="2" t="s">
        <v>8</v>
      </c>
      <c r="C46" s="2" t="s">
        <v>13</v>
      </c>
      <c r="D46" s="2" t="s">
        <v>7</v>
      </c>
      <c r="E46" s="2">
        <v>6.2</v>
      </c>
    </row>
    <row r="47" spans="1:5" x14ac:dyDescent="0.3">
      <c r="A47" s="3">
        <v>46</v>
      </c>
      <c r="B47" s="3" t="s">
        <v>18</v>
      </c>
      <c r="C47" s="3" t="s">
        <v>6</v>
      </c>
      <c r="D47" s="3" t="s">
        <v>7</v>
      </c>
      <c r="E47" s="3">
        <v>8.6999999999999993</v>
      </c>
    </row>
    <row r="48" spans="1:5" x14ac:dyDescent="0.3">
      <c r="A48" s="2">
        <v>47</v>
      </c>
      <c r="B48" s="2" t="s">
        <v>18</v>
      </c>
      <c r="C48" s="2" t="s">
        <v>19</v>
      </c>
      <c r="D48" s="2" t="s">
        <v>7</v>
      </c>
      <c r="E48" s="2">
        <v>14.1</v>
      </c>
    </row>
    <row r="49" spans="1:5" x14ac:dyDescent="0.3">
      <c r="A49" s="3">
        <v>48</v>
      </c>
      <c r="B49" s="3" t="s">
        <v>14</v>
      </c>
      <c r="C49" s="3" t="s">
        <v>13</v>
      </c>
      <c r="D49" s="3" t="s">
        <v>7</v>
      </c>
      <c r="E49" s="3">
        <v>3</v>
      </c>
    </row>
    <row r="50" spans="1:5" x14ac:dyDescent="0.3">
      <c r="A50" s="2">
        <v>49</v>
      </c>
      <c r="B50" s="2" t="s">
        <v>16</v>
      </c>
      <c r="C50" s="2" t="s">
        <v>9</v>
      </c>
      <c r="D50" s="2" t="s">
        <v>12</v>
      </c>
      <c r="E50" s="2"/>
    </row>
    <row r="51" spans="1:5" x14ac:dyDescent="0.3">
      <c r="A51" s="3">
        <v>50</v>
      </c>
      <c r="B51" s="3" t="s">
        <v>21</v>
      </c>
      <c r="C51" s="3" t="s">
        <v>15</v>
      </c>
      <c r="D51" s="3" t="s">
        <v>10</v>
      </c>
      <c r="E51" s="3"/>
    </row>
    <row r="52" spans="1:5" x14ac:dyDescent="0.3">
      <c r="A52" s="2">
        <v>51</v>
      </c>
      <c r="B52" s="2" t="s">
        <v>8</v>
      </c>
      <c r="C52" s="2" t="s">
        <v>19</v>
      </c>
      <c r="D52" s="2" t="s">
        <v>7</v>
      </c>
      <c r="E52" s="2">
        <v>5.3</v>
      </c>
    </row>
    <row r="53" spans="1:5" x14ac:dyDescent="0.3">
      <c r="A53" s="3">
        <v>52</v>
      </c>
      <c r="B53" s="3" t="s">
        <v>5</v>
      </c>
      <c r="C53" s="3" t="s">
        <v>15</v>
      </c>
      <c r="D53" s="3" t="s">
        <v>10</v>
      </c>
      <c r="E53" s="3"/>
    </row>
    <row r="54" spans="1:5" x14ac:dyDescent="0.3">
      <c r="A54" s="2">
        <v>53</v>
      </c>
      <c r="B54" s="2" t="s">
        <v>22</v>
      </c>
      <c r="C54" s="2" t="s">
        <v>13</v>
      </c>
      <c r="D54" s="2" t="s">
        <v>10</v>
      </c>
      <c r="E54" s="2"/>
    </row>
    <row r="55" spans="1:5" x14ac:dyDescent="0.3">
      <c r="A55" s="3">
        <v>54</v>
      </c>
      <c r="B55" s="3" t="s">
        <v>5</v>
      </c>
      <c r="C55" s="3" t="s">
        <v>9</v>
      </c>
      <c r="D55" s="3" t="s">
        <v>7</v>
      </c>
      <c r="E55" s="3">
        <v>2.1</v>
      </c>
    </row>
    <row r="56" spans="1:5" x14ac:dyDescent="0.3">
      <c r="A56" s="2">
        <v>55</v>
      </c>
      <c r="B56" s="2" t="s">
        <v>22</v>
      </c>
      <c r="C56" s="2" t="s">
        <v>6</v>
      </c>
      <c r="D56" s="2" t="s">
        <v>7</v>
      </c>
      <c r="E56" s="2">
        <v>1.9</v>
      </c>
    </row>
    <row r="57" spans="1:5" x14ac:dyDescent="0.3">
      <c r="A57" s="3">
        <v>56</v>
      </c>
      <c r="B57" s="3" t="s">
        <v>8</v>
      </c>
      <c r="C57" s="3" t="s">
        <v>15</v>
      </c>
      <c r="D57" s="3" t="s">
        <v>10</v>
      </c>
      <c r="E57" s="3"/>
    </row>
    <row r="58" spans="1:5" x14ac:dyDescent="0.3">
      <c r="A58" s="2">
        <v>57</v>
      </c>
      <c r="B58" s="2" t="s">
        <v>16</v>
      </c>
      <c r="C58" s="2" t="s">
        <v>9</v>
      </c>
      <c r="D58" s="2" t="s">
        <v>12</v>
      </c>
      <c r="E58" s="2"/>
    </row>
    <row r="59" spans="1:5" x14ac:dyDescent="0.3">
      <c r="A59" s="3">
        <v>58</v>
      </c>
      <c r="B59" s="3" t="s">
        <v>18</v>
      </c>
      <c r="C59" s="3" t="s">
        <v>9</v>
      </c>
      <c r="D59" s="3" t="s">
        <v>7</v>
      </c>
      <c r="E59" s="3">
        <v>13.9</v>
      </c>
    </row>
    <row r="60" spans="1:5" x14ac:dyDescent="0.3">
      <c r="A60" s="2">
        <v>59</v>
      </c>
      <c r="B60" s="2" t="s">
        <v>11</v>
      </c>
      <c r="C60" s="2" t="s">
        <v>13</v>
      </c>
      <c r="D60" s="2" t="s">
        <v>12</v>
      </c>
      <c r="E60" s="2"/>
    </row>
    <row r="61" spans="1:5" x14ac:dyDescent="0.3">
      <c r="A61" s="3">
        <v>60</v>
      </c>
      <c r="B61" s="3" t="s">
        <v>21</v>
      </c>
      <c r="C61" s="3" t="s">
        <v>9</v>
      </c>
      <c r="D61" s="3" t="s">
        <v>12</v>
      </c>
      <c r="E61" s="3"/>
    </row>
    <row r="62" spans="1:5" x14ac:dyDescent="0.3">
      <c r="A62" s="2">
        <v>61</v>
      </c>
      <c r="B62" s="2" t="s">
        <v>8</v>
      </c>
      <c r="C62" s="2" t="s">
        <v>9</v>
      </c>
      <c r="D62" s="2" t="s">
        <v>7</v>
      </c>
      <c r="E62" s="2">
        <v>4.8</v>
      </c>
    </row>
    <row r="63" spans="1:5" x14ac:dyDescent="0.3">
      <c r="A63" s="3">
        <v>62</v>
      </c>
      <c r="B63" s="3" t="s">
        <v>14</v>
      </c>
      <c r="C63" s="3" t="s">
        <v>15</v>
      </c>
      <c r="D63" s="3" t="s">
        <v>12</v>
      </c>
      <c r="E63" s="3"/>
    </row>
    <row r="64" spans="1:5" x14ac:dyDescent="0.3">
      <c r="A64" s="2">
        <v>63</v>
      </c>
      <c r="B64" s="2" t="s">
        <v>5</v>
      </c>
      <c r="C64" s="2" t="s">
        <v>19</v>
      </c>
      <c r="D64" s="2" t="s">
        <v>7</v>
      </c>
      <c r="E64" s="2">
        <v>1.5</v>
      </c>
    </row>
    <row r="65" spans="1:5" x14ac:dyDescent="0.3">
      <c r="A65" s="3">
        <v>64</v>
      </c>
      <c r="B65" s="3" t="s">
        <v>8</v>
      </c>
      <c r="C65" s="3" t="s">
        <v>15</v>
      </c>
      <c r="D65" s="3" t="s">
        <v>7</v>
      </c>
      <c r="E65" s="3">
        <v>4.3</v>
      </c>
    </row>
    <row r="66" spans="1:5" x14ac:dyDescent="0.3">
      <c r="A66" s="2">
        <v>65</v>
      </c>
      <c r="B66" s="2" t="s">
        <v>21</v>
      </c>
      <c r="C66" s="2" t="s">
        <v>13</v>
      </c>
      <c r="D66" s="2" t="s">
        <v>7</v>
      </c>
      <c r="E66" s="2">
        <v>9.1999999999999993</v>
      </c>
    </row>
    <row r="67" spans="1:5" x14ac:dyDescent="0.3">
      <c r="A67" s="3">
        <v>66</v>
      </c>
      <c r="B67" s="3" t="s">
        <v>21</v>
      </c>
      <c r="C67" s="3" t="s">
        <v>15</v>
      </c>
      <c r="D67" s="3" t="s">
        <v>7</v>
      </c>
      <c r="E67" s="3">
        <v>14.8</v>
      </c>
    </row>
    <row r="68" spans="1:5" x14ac:dyDescent="0.3">
      <c r="A68" s="2">
        <v>67</v>
      </c>
      <c r="B68" s="2" t="s">
        <v>21</v>
      </c>
      <c r="C68" s="2" t="s">
        <v>6</v>
      </c>
      <c r="D68" s="2" t="s">
        <v>10</v>
      </c>
      <c r="E68" s="2"/>
    </row>
    <row r="69" spans="1:5" x14ac:dyDescent="0.3">
      <c r="A69" s="3">
        <v>68</v>
      </c>
      <c r="B69" s="3" t="s">
        <v>5</v>
      </c>
      <c r="C69" s="3" t="s">
        <v>6</v>
      </c>
      <c r="D69" s="3" t="s">
        <v>10</v>
      </c>
      <c r="E69" s="3"/>
    </row>
    <row r="70" spans="1:5" x14ac:dyDescent="0.3">
      <c r="A70" s="2">
        <v>69</v>
      </c>
      <c r="B70" s="2" t="s">
        <v>8</v>
      </c>
      <c r="C70" s="2" t="s">
        <v>6</v>
      </c>
      <c r="D70" s="2" t="s">
        <v>7</v>
      </c>
      <c r="E70" s="2">
        <v>3.7</v>
      </c>
    </row>
    <row r="71" spans="1:5" x14ac:dyDescent="0.3">
      <c r="A71" s="3">
        <v>70</v>
      </c>
      <c r="B71" s="3" t="s">
        <v>21</v>
      </c>
      <c r="C71" s="3" t="s">
        <v>19</v>
      </c>
      <c r="D71" s="3" t="s">
        <v>7</v>
      </c>
      <c r="E71" s="3">
        <v>17.3</v>
      </c>
    </row>
    <row r="72" spans="1:5" x14ac:dyDescent="0.3">
      <c r="A72" s="2">
        <v>71</v>
      </c>
      <c r="B72" s="2" t="s">
        <v>20</v>
      </c>
      <c r="C72" s="2" t="s">
        <v>6</v>
      </c>
      <c r="D72" s="2" t="s">
        <v>12</v>
      </c>
      <c r="E72" s="2"/>
    </row>
    <row r="73" spans="1:5" x14ac:dyDescent="0.3">
      <c r="A73" s="3">
        <v>72</v>
      </c>
      <c r="B73" s="3" t="s">
        <v>14</v>
      </c>
      <c r="C73" s="3" t="s">
        <v>6</v>
      </c>
      <c r="D73" s="3" t="s">
        <v>7</v>
      </c>
      <c r="E73" s="3">
        <v>2.9</v>
      </c>
    </row>
    <row r="74" spans="1:5" x14ac:dyDescent="0.3">
      <c r="A74" s="2">
        <v>73</v>
      </c>
      <c r="B74" s="2" t="s">
        <v>16</v>
      </c>
      <c r="C74" s="2" t="s">
        <v>19</v>
      </c>
      <c r="D74" s="2" t="s">
        <v>12</v>
      </c>
      <c r="E74" s="2"/>
    </row>
    <row r="75" spans="1:5" x14ac:dyDescent="0.3">
      <c r="A75" s="3">
        <v>74</v>
      </c>
      <c r="B75" s="3" t="s">
        <v>21</v>
      </c>
      <c r="C75" s="3" t="s">
        <v>13</v>
      </c>
      <c r="D75" s="3" t="s">
        <v>7</v>
      </c>
      <c r="E75" s="3">
        <v>7</v>
      </c>
    </row>
    <row r="76" spans="1:5" x14ac:dyDescent="0.3">
      <c r="A76" s="2">
        <v>75</v>
      </c>
      <c r="B76" s="2" t="s">
        <v>5</v>
      </c>
      <c r="C76" s="2" t="s">
        <v>9</v>
      </c>
      <c r="D76" s="2" t="s">
        <v>10</v>
      </c>
      <c r="E76" s="2"/>
    </row>
    <row r="77" spans="1:5" x14ac:dyDescent="0.3">
      <c r="A77" s="3">
        <v>76</v>
      </c>
      <c r="B77" s="3" t="s">
        <v>5</v>
      </c>
      <c r="C77" s="3" t="s">
        <v>13</v>
      </c>
      <c r="D77" s="3" t="s">
        <v>7</v>
      </c>
      <c r="E77" s="3">
        <v>1.2</v>
      </c>
    </row>
    <row r="78" spans="1:5" x14ac:dyDescent="0.3">
      <c r="A78" s="2">
        <v>77</v>
      </c>
      <c r="B78" s="2" t="s">
        <v>21</v>
      </c>
      <c r="C78" s="2" t="s">
        <v>13</v>
      </c>
      <c r="D78" s="2" t="s">
        <v>10</v>
      </c>
      <c r="E78" s="2"/>
    </row>
    <row r="79" spans="1:5" x14ac:dyDescent="0.3">
      <c r="A79" s="3">
        <v>78</v>
      </c>
      <c r="B79" s="3" t="s">
        <v>20</v>
      </c>
      <c r="C79" s="3" t="s">
        <v>13</v>
      </c>
      <c r="D79" s="3" t="s">
        <v>7</v>
      </c>
      <c r="E79" s="3">
        <v>2.1</v>
      </c>
    </row>
    <row r="80" spans="1:5" x14ac:dyDescent="0.3">
      <c r="A80" s="2">
        <v>79</v>
      </c>
      <c r="B80" s="2" t="s">
        <v>20</v>
      </c>
      <c r="C80" s="2" t="s">
        <v>6</v>
      </c>
      <c r="D80" s="2" t="s">
        <v>7</v>
      </c>
      <c r="E80" s="2">
        <v>1.6</v>
      </c>
    </row>
    <row r="81" spans="1:5" x14ac:dyDescent="0.3">
      <c r="A81" s="3">
        <v>80</v>
      </c>
      <c r="B81" s="3" t="s">
        <v>14</v>
      </c>
      <c r="C81" s="3" t="s">
        <v>9</v>
      </c>
      <c r="D81" s="3" t="s">
        <v>7</v>
      </c>
      <c r="E81" s="3">
        <v>2.5</v>
      </c>
    </row>
    <row r="82" spans="1:5" x14ac:dyDescent="0.3">
      <c r="A82" s="2">
        <v>81</v>
      </c>
      <c r="B82" s="2" t="s">
        <v>22</v>
      </c>
      <c r="C82" s="2" t="s">
        <v>13</v>
      </c>
      <c r="D82" s="2" t="s">
        <v>10</v>
      </c>
      <c r="E82" s="2"/>
    </row>
    <row r="83" spans="1:5" x14ac:dyDescent="0.3">
      <c r="A83" s="3">
        <v>82</v>
      </c>
      <c r="B83" s="3" t="s">
        <v>5</v>
      </c>
      <c r="C83" s="3" t="s">
        <v>13</v>
      </c>
      <c r="D83" s="3" t="s">
        <v>10</v>
      </c>
      <c r="E83" s="3"/>
    </row>
    <row r="84" spans="1:5" x14ac:dyDescent="0.3">
      <c r="A84" s="2">
        <v>83</v>
      </c>
      <c r="B84" s="2" t="s">
        <v>14</v>
      </c>
      <c r="C84" s="2" t="s">
        <v>6</v>
      </c>
      <c r="D84" s="2" t="s">
        <v>10</v>
      </c>
      <c r="E84" s="2"/>
    </row>
    <row r="85" spans="1:5" x14ac:dyDescent="0.3">
      <c r="A85" s="3">
        <v>84</v>
      </c>
      <c r="B85" s="3" t="s">
        <v>18</v>
      </c>
      <c r="C85" s="3" t="s">
        <v>13</v>
      </c>
      <c r="D85" s="3" t="s">
        <v>7</v>
      </c>
      <c r="E85" s="3">
        <v>20.100000000000001</v>
      </c>
    </row>
    <row r="86" spans="1:5" x14ac:dyDescent="0.3">
      <c r="A86" s="2">
        <v>85</v>
      </c>
      <c r="B86" s="2" t="s">
        <v>17</v>
      </c>
      <c r="C86" s="2" t="s">
        <v>9</v>
      </c>
      <c r="D86" s="2" t="s">
        <v>7</v>
      </c>
      <c r="E86" s="2">
        <v>15.5</v>
      </c>
    </row>
    <row r="87" spans="1:5" x14ac:dyDescent="0.3">
      <c r="A87" s="3">
        <v>86</v>
      </c>
      <c r="B87" s="3" t="s">
        <v>16</v>
      </c>
      <c r="C87" s="3" t="s">
        <v>9</v>
      </c>
      <c r="D87" s="3" t="s">
        <v>12</v>
      </c>
      <c r="E87" s="3"/>
    </row>
    <row r="88" spans="1:5" x14ac:dyDescent="0.3">
      <c r="A88" s="2">
        <v>87</v>
      </c>
      <c r="B88" s="2" t="s">
        <v>8</v>
      </c>
      <c r="C88" s="2" t="s">
        <v>15</v>
      </c>
      <c r="D88" s="2" t="s">
        <v>7</v>
      </c>
      <c r="E88" s="2">
        <v>5.6</v>
      </c>
    </row>
    <row r="89" spans="1:5" x14ac:dyDescent="0.3">
      <c r="A89" s="3">
        <v>88</v>
      </c>
      <c r="B89" s="3" t="s">
        <v>8</v>
      </c>
      <c r="C89" s="3" t="s">
        <v>13</v>
      </c>
      <c r="D89" s="3" t="s">
        <v>7</v>
      </c>
      <c r="E89" s="3">
        <v>5.4</v>
      </c>
    </row>
    <row r="90" spans="1:5" x14ac:dyDescent="0.3">
      <c r="A90" s="2">
        <v>89</v>
      </c>
      <c r="B90" s="2" t="s">
        <v>16</v>
      </c>
      <c r="C90" s="2" t="s">
        <v>13</v>
      </c>
      <c r="D90" s="2" t="s">
        <v>7</v>
      </c>
      <c r="E90" s="2">
        <v>25.2</v>
      </c>
    </row>
    <row r="91" spans="1:5" x14ac:dyDescent="0.3">
      <c r="A91" s="3">
        <v>90</v>
      </c>
      <c r="B91" s="3" t="s">
        <v>22</v>
      </c>
      <c r="C91" s="3" t="s">
        <v>6</v>
      </c>
      <c r="D91" s="3" t="s">
        <v>7</v>
      </c>
      <c r="E91" s="3">
        <v>1.3</v>
      </c>
    </row>
    <row r="92" spans="1:5" x14ac:dyDescent="0.3">
      <c r="A92" s="2">
        <v>91</v>
      </c>
      <c r="B92" s="2" t="s">
        <v>18</v>
      </c>
      <c r="C92" s="2" t="s">
        <v>19</v>
      </c>
      <c r="D92" s="2" t="s">
        <v>7</v>
      </c>
      <c r="E92" s="2">
        <v>20.2</v>
      </c>
    </row>
    <row r="93" spans="1:5" x14ac:dyDescent="0.3">
      <c r="A93" s="3">
        <v>92</v>
      </c>
      <c r="B93" s="3" t="s">
        <v>5</v>
      </c>
      <c r="C93" s="3" t="s">
        <v>13</v>
      </c>
      <c r="D93" s="3" t="s">
        <v>10</v>
      </c>
      <c r="E93" s="3"/>
    </row>
    <row r="94" spans="1:5" x14ac:dyDescent="0.3">
      <c r="A94" s="2">
        <v>93</v>
      </c>
      <c r="B94" s="2" t="s">
        <v>8</v>
      </c>
      <c r="C94" s="2" t="s">
        <v>15</v>
      </c>
      <c r="D94" s="2" t="s">
        <v>7</v>
      </c>
      <c r="E94" s="2">
        <v>4.7</v>
      </c>
    </row>
    <row r="95" spans="1:5" x14ac:dyDescent="0.3">
      <c r="A95" s="3">
        <v>94</v>
      </c>
      <c r="B95" s="3" t="s">
        <v>18</v>
      </c>
      <c r="C95" s="3" t="s">
        <v>6</v>
      </c>
      <c r="D95" s="3" t="s">
        <v>7</v>
      </c>
      <c r="E95" s="3">
        <v>10.5</v>
      </c>
    </row>
    <row r="96" spans="1:5" x14ac:dyDescent="0.3">
      <c r="A96" s="2">
        <v>95</v>
      </c>
      <c r="B96" s="2" t="s">
        <v>22</v>
      </c>
      <c r="C96" s="2" t="s">
        <v>13</v>
      </c>
      <c r="D96" s="2" t="s">
        <v>7</v>
      </c>
      <c r="E96" s="2">
        <v>1.3</v>
      </c>
    </row>
    <row r="97" spans="1:5" x14ac:dyDescent="0.3">
      <c r="A97" s="3">
        <v>96</v>
      </c>
      <c r="B97" s="3" t="s">
        <v>18</v>
      </c>
      <c r="C97" s="3" t="s">
        <v>15</v>
      </c>
      <c r="D97" s="3" t="s">
        <v>12</v>
      </c>
      <c r="E97" s="3"/>
    </row>
    <row r="98" spans="1:5" x14ac:dyDescent="0.3">
      <c r="A98" s="2">
        <v>97</v>
      </c>
      <c r="B98" s="2" t="s">
        <v>5</v>
      </c>
      <c r="C98" s="2" t="s">
        <v>15</v>
      </c>
      <c r="D98" s="2" t="s">
        <v>7</v>
      </c>
      <c r="E98" s="2">
        <v>2.6</v>
      </c>
    </row>
    <row r="99" spans="1:5" x14ac:dyDescent="0.3">
      <c r="A99" s="3">
        <v>98</v>
      </c>
      <c r="B99" s="3" t="s">
        <v>5</v>
      </c>
      <c r="C99" s="3" t="s">
        <v>15</v>
      </c>
      <c r="D99" s="3" t="s">
        <v>7</v>
      </c>
      <c r="E99" s="3">
        <v>1.9</v>
      </c>
    </row>
    <row r="100" spans="1:5" x14ac:dyDescent="0.3">
      <c r="A100" s="2">
        <v>99</v>
      </c>
      <c r="B100" s="2" t="s">
        <v>16</v>
      </c>
      <c r="C100" s="2" t="s">
        <v>9</v>
      </c>
      <c r="D100" s="2" t="s">
        <v>7</v>
      </c>
      <c r="E100" s="2">
        <v>18</v>
      </c>
    </row>
    <row r="101" spans="1:5" x14ac:dyDescent="0.3">
      <c r="A101" s="3">
        <v>100</v>
      </c>
      <c r="B101" s="3" t="s">
        <v>14</v>
      </c>
      <c r="C101" s="3" t="s">
        <v>13</v>
      </c>
      <c r="D101" s="3" t="s">
        <v>10</v>
      </c>
      <c r="E101" s="3"/>
    </row>
    <row r="102" spans="1:5" x14ac:dyDescent="0.3">
      <c r="A102" s="2">
        <v>101</v>
      </c>
      <c r="B102" s="2" t="s">
        <v>8</v>
      </c>
      <c r="C102" s="2" t="s">
        <v>6</v>
      </c>
      <c r="D102" s="2" t="s">
        <v>7</v>
      </c>
      <c r="E102" s="2">
        <v>6.8</v>
      </c>
    </row>
    <row r="103" spans="1:5" x14ac:dyDescent="0.3">
      <c r="A103" s="3">
        <v>102</v>
      </c>
      <c r="B103" s="3" t="s">
        <v>18</v>
      </c>
      <c r="C103" s="3" t="s">
        <v>9</v>
      </c>
      <c r="D103" s="3" t="s">
        <v>7</v>
      </c>
      <c r="E103" s="3">
        <v>15.2</v>
      </c>
    </row>
    <row r="104" spans="1:5" x14ac:dyDescent="0.3">
      <c r="A104" s="2">
        <v>103</v>
      </c>
      <c r="B104" s="2" t="s">
        <v>18</v>
      </c>
      <c r="C104" s="2" t="s">
        <v>13</v>
      </c>
      <c r="D104" s="2" t="s">
        <v>7</v>
      </c>
      <c r="E104" s="2">
        <v>13.2</v>
      </c>
    </row>
    <row r="105" spans="1:5" x14ac:dyDescent="0.3">
      <c r="A105" s="3">
        <v>104</v>
      </c>
      <c r="B105" s="3" t="s">
        <v>16</v>
      </c>
      <c r="C105" s="3" t="s">
        <v>6</v>
      </c>
      <c r="D105" s="3" t="s">
        <v>7</v>
      </c>
      <c r="E105" s="3">
        <v>23.5</v>
      </c>
    </row>
    <row r="106" spans="1:5" x14ac:dyDescent="0.3">
      <c r="A106" s="2">
        <v>105</v>
      </c>
      <c r="B106" s="2" t="s">
        <v>17</v>
      </c>
      <c r="C106" s="2" t="s">
        <v>6</v>
      </c>
      <c r="D106" s="2" t="s">
        <v>7</v>
      </c>
      <c r="E106" s="2">
        <v>24.9</v>
      </c>
    </row>
    <row r="107" spans="1:5" x14ac:dyDescent="0.3">
      <c r="A107" s="3">
        <v>106</v>
      </c>
      <c r="B107" s="3" t="s">
        <v>17</v>
      </c>
      <c r="C107" s="3" t="s">
        <v>6</v>
      </c>
      <c r="D107" s="3" t="s">
        <v>10</v>
      </c>
      <c r="E107" s="3"/>
    </row>
    <row r="108" spans="1:5" x14ac:dyDescent="0.3">
      <c r="A108" s="2">
        <v>107</v>
      </c>
      <c r="B108" s="2" t="s">
        <v>11</v>
      </c>
      <c r="C108" s="2" t="s">
        <v>19</v>
      </c>
      <c r="D108" s="2" t="s">
        <v>7</v>
      </c>
      <c r="E108" s="2">
        <v>57.7</v>
      </c>
    </row>
    <row r="109" spans="1:5" x14ac:dyDescent="0.3">
      <c r="A109" s="3">
        <v>108</v>
      </c>
      <c r="B109" s="3" t="s">
        <v>20</v>
      </c>
      <c r="C109" s="3" t="s">
        <v>9</v>
      </c>
      <c r="D109" s="3" t="s">
        <v>7</v>
      </c>
      <c r="E109" s="3">
        <v>1.6</v>
      </c>
    </row>
    <row r="110" spans="1:5" x14ac:dyDescent="0.3">
      <c r="A110" s="2">
        <v>109</v>
      </c>
      <c r="B110" s="2" t="s">
        <v>20</v>
      </c>
      <c r="C110" s="2" t="s">
        <v>6</v>
      </c>
      <c r="D110" s="2" t="s">
        <v>7</v>
      </c>
      <c r="E110" s="2">
        <v>1.8</v>
      </c>
    </row>
    <row r="111" spans="1:5" x14ac:dyDescent="0.3">
      <c r="A111" s="3">
        <v>110</v>
      </c>
      <c r="B111" s="3" t="s">
        <v>22</v>
      </c>
      <c r="C111" s="3" t="s">
        <v>19</v>
      </c>
      <c r="D111" s="3" t="s">
        <v>7</v>
      </c>
      <c r="E111" s="3">
        <v>1.6</v>
      </c>
    </row>
    <row r="112" spans="1:5" x14ac:dyDescent="0.3">
      <c r="A112" s="2">
        <v>111</v>
      </c>
      <c r="B112" s="2" t="s">
        <v>14</v>
      </c>
      <c r="C112" s="2" t="s">
        <v>6</v>
      </c>
      <c r="D112" s="2" t="s">
        <v>7</v>
      </c>
      <c r="E112" s="2">
        <v>2.7</v>
      </c>
    </row>
    <row r="113" spans="1:5" x14ac:dyDescent="0.3">
      <c r="A113" s="3">
        <v>112</v>
      </c>
      <c r="B113" s="3" t="s">
        <v>22</v>
      </c>
      <c r="C113" s="3" t="s">
        <v>9</v>
      </c>
      <c r="D113" s="3" t="s">
        <v>12</v>
      </c>
      <c r="E113" s="3"/>
    </row>
    <row r="114" spans="1:5" x14ac:dyDescent="0.3">
      <c r="A114" s="2">
        <v>113</v>
      </c>
      <c r="B114" s="2" t="s">
        <v>16</v>
      </c>
      <c r="C114" s="2" t="s">
        <v>15</v>
      </c>
      <c r="D114" s="2" t="s">
        <v>7</v>
      </c>
      <c r="E114" s="2">
        <v>15.3</v>
      </c>
    </row>
    <row r="115" spans="1:5" x14ac:dyDescent="0.3">
      <c r="A115" s="3">
        <v>114</v>
      </c>
      <c r="B115" s="3" t="s">
        <v>14</v>
      </c>
      <c r="C115" s="3" t="s">
        <v>9</v>
      </c>
      <c r="D115" s="3" t="s">
        <v>7</v>
      </c>
      <c r="E115" s="3">
        <v>1.3</v>
      </c>
    </row>
    <row r="116" spans="1:5" x14ac:dyDescent="0.3">
      <c r="A116" s="2">
        <v>115</v>
      </c>
      <c r="B116" s="2" t="s">
        <v>16</v>
      </c>
      <c r="C116" s="2" t="s">
        <v>6</v>
      </c>
      <c r="D116" s="2" t="s">
        <v>7</v>
      </c>
      <c r="E116" s="2">
        <v>19.600000000000001</v>
      </c>
    </row>
    <row r="117" spans="1:5" x14ac:dyDescent="0.3">
      <c r="A117" s="3">
        <v>116</v>
      </c>
      <c r="B117" s="3" t="s">
        <v>18</v>
      </c>
      <c r="C117" s="3" t="s">
        <v>19</v>
      </c>
      <c r="D117" s="3" t="s">
        <v>7</v>
      </c>
      <c r="E117" s="3">
        <v>25.9</v>
      </c>
    </row>
    <row r="118" spans="1:5" x14ac:dyDescent="0.3">
      <c r="A118" s="2">
        <v>117</v>
      </c>
      <c r="B118" s="2" t="s">
        <v>16</v>
      </c>
      <c r="C118" s="2" t="s">
        <v>6</v>
      </c>
      <c r="D118" s="2" t="s">
        <v>7</v>
      </c>
      <c r="E118" s="2">
        <v>18.7</v>
      </c>
    </row>
    <row r="119" spans="1:5" x14ac:dyDescent="0.3">
      <c r="A119" s="3">
        <v>118</v>
      </c>
      <c r="B119" s="3" t="s">
        <v>5</v>
      </c>
      <c r="C119" s="3" t="s">
        <v>15</v>
      </c>
      <c r="D119" s="3" t="s">
        <v>7</v>
      </c>
      <c r="E119" s="3">
        <v>2.5</v>
      </c>
    </row>
    <row r="120" spans="1:5" x14ac:dyDescent="0.3">
      <c r="A120" s="2">
        <v>119</v>
      </c>
      <c r="B120" s="2" t="s">
        <v>17</v>
      </c>
      <c r="C120" s="2" t="s">
        <v>15</v>
      </c>
      <c r="D120" s="2" t="s">
        <v>12</v>
      </c>
      <c r="E120" s="2"/>
    </row>
    <row r="121" spans="1:5" x14ac:dyDescent="0.3">
      <c r="A121" s="3">
        <v>120</v>
      </c>
      <c r="B121" s="3" t="s">
        <v>18</v>
      </c>
      <c r="C121" s="3" t="s">
        <v>13</v>
      </c>
      <c r="D121" s="3" t="s">
        <v>7</v>
      </c>
      <c r="E121" s="3">
        <v>12.6</v>
      </c>
    </row>
    <row r="122" spans="1:5" x14ac:dyDescent="0.3">
      <c r="A122" s="2">
        <v>121</v>
      </c>
      <c r="B122" s="2" t="s">
        <v>22</v>
      </c>
      <c r="C122" s="2" t="s">
        <v>13</v>
      </c>
      <c r="D122" s="2" t="s">
        <v>7</v>
      </c>
      <c r="E122" s="2">
        <v>1.1000000000000001</v>
      </c>
    </row>
    <row r="123" spans="1:5" x14ac:dyDescent="0.3">
      <c r="A123" s="3">
        <v>122</v>
      </c>
      <c r="B123" s="3" t="s">
        <v>5</v>
      </c>
      <c r="C123" s="3" t="s">
        <v>19</v>
      </c>
      <c r="D123" s="3" t="s">
        <v>10</v>
      </c>
      <c r="E123" s="3"/>
    </row>
    <row r="124" spans="1:5" x14ac:dyDescent="0.3">
      <c r="A124" s="2">
        <v>123</v>
      </c>
      <c r="B124" s="2" t="s">
        <v>22</v>
      </c>
      <c r="C124" s="2" t="s">
        <v>13</v>
      </c>
      <c r="D124" s="2" t="s">
        <v>7</v>
      </c>
      <c r="E124" s="2">
        <v>1.5</v>
      </c>
    </row>
    <row r="125" spans="1:5" x14ac:dyDescent="0.3">
      <c r="A125" s="3">
        <v>124</v>
      </c>
      <c r="B125" s="3" t="s">
        <v>11</v>
      </c>
      <c r="C125" s="3" t="s">
        <v>15</v>
      </c>
      <c r="D125" s="3" t="s">
        <v>7</v>
      </c>
      <c r="E125" s="3">
        <v>40.1</v>
      </c>
    </row>
    <row r="126" spans="1:5" x14ac:dyDescent="0.3">
      <c r="A126" s="2">
        <v>125</v>
      </c>
      <c r="B126" s="2" t="s">
        <v>16</v>
      </c>
      <c r="C126" s="2" t="s">
        <v>6</v>
      </c>
      <c r="D126" s="2" t="s">
        <v>10</v>
      </c>
      <c r="E126" s="2"/>
    </row>
    <row r="127" spans="1:5" x14ac:dyDescent="0.3">
      <c r="A127" s="3">
        <v>126</v>
      </c>
      <c r="B127" s="3" t="s">
        <v>14</v>
      </c>
      <c r="C127" s="3" t="s">
        <v>15</v>
      </c>
      <c r="D127" s="3" t="s">
        <v>7</v>
      </c>
      <c r="E127" s="3">
        <v>2.1</v>
      </c>
    </row>
    <row r="128" spans="1:5" x14ac:dyDescent="0.3">
      <c r="A128" s="2">
        <v>127</v>
      </c>
      <c r="B128" s="2" t="s">
        <v>18</v>
      </c>
      <c r="C128" s="2" t="s">
        <v>15</v>
      </c>
      <c r="D128" s="2" t="s">
        <v>7</v>
      </c>
      <c r="E128" s="2">
        <v>10.9</v>
      </c>
    </row>
    <row r="129" spans="1:5" x14ac:dyDescent="0.3">
      <c r="A129" s="3">
        <v>128</v>
      </c>
      <c r="B129" s="3" t="s">
        <v>20</v>
      </c>
      <c r="C129" s="3" t="s">
        <v>19</v>
      </c>
      <c r="D129" s="3" t="s">
        <v>10</v>
      </c>
      <c r="E129" s="3"/>
    </row>
    <row r="130" spans="1:5" x14ac:dyDescent="0.3">
      <c r="A130" s="2">
        <v>129</v>
      </c>
      <c r="B130" s="2" t="s">
        <v>16</v>
      </c>
      <c r="C130" s="2" t="s">
        <v>13</v>
      </c>
      <c r="D130" s="2" t="s">
        <v>12</v>
      </c>
      <c r="E130" s="2"/>
    </row>
    <row r="131" spans="1:5" x14ac:dyDescent="0.3">
      <c r="A131" s="3">
        <v>130</v>
      </c>
      <c r="B131" s="3" t="s">
        <v>5</v>
      </c>
      <c r="C131" s="3" t="s">
        <v>13</v>
      </c>
      <c r="D131" s="3" t="s">
        <v>7</v>
      </c>
      <c r="E131" s="3">
        <v>1.7</v>
      </c>
    </row>
    <row r="132" spans="1:5" x14ac:dyDescent="0.3">
      <c r="A132" s="2">
        <v>131</v>
      </c>
      <c r="B132" s="2" t="s">
        <v>11</v>
      </c>
      <c r="C132" s="2" t="s">
        <v>19</v>
      </c>
      <c r="D132" s="2" t="s">
        <v>10</v>
      </c>
      <c r="E132" s="2"/>
    </row>
    <row r="133" spans="1:5" x14ac:dyDescent="0.3">
      <c r="A133" s="3">
        <v>132</v>
      </c>
      <c r="B133" s="3" t="s">
        <v>21</v>
      </c>
      <c r="C133" s="3" t="s">
        <v>15</v>
      </c>
      <c r="D133" s="3" t="s">
        <v>12</v>
      </c>
      <c r="E133" s="3"/>
    </row>
    <row r="134" spans="1:5" x14ac:dyDescent="0.3">
      <c r="A134" s="2">
        <v>133</v>
      </c>
      <c r="B134" s="2" t="s">
        <v>22</v>
      </c>
      <c r="C134" s="2" t="s">
        <v>19</v>
      </c>
      <c r="D134" s="2" t="s">
        <v>10</v>
      </c>
      <c r="E134" s="2"/>
    </row>
    <row r="135" spans="1:5" x14ac:dyDescent="0.3">
      <c r="A135" s="3">
        <v>134</v>
      </c>
      <c r="B135" s="3" t="s">
        <v>20</v>
      </c>
      <c r="C135" s="3" t="s">
        <v>19</v>
      </c>
      <c r="D135" s="3" t="s">
        <v>7</v>
      </c>
      <c r="E135" s="3">
        <v>1.7</v>
      </c>
    </row>
    <row r="136" spans="1:5" x14ac:dyDescent="0.3">
      <c r="A136" s="2">
        <v>135</v>
      </c>
      <c r="B136" s="2" t="s">
        <v>17</v>
      </c>
      <c r="C136" s="2" t="s">
        <v>13</v>
      </c>
      <c r="D136" s="2" t="s">
        <v>7</v>
      </c>
      <c r="E136" s="2">
        <v>28.4</v>
      </c>
    </row>
    <row r="137" spans="1:5" x14ac:dyDescent="0.3">
      <c r="A137" s="3">
        <v>136</v>
      </c>
      <c r="B137" s="3" t="s">
        <v>16</v>
      </c>
      <c r="C137" s="3" t="s">
        <v>9</v>
      </c>
      <c r="D137" s="3" t="s">
        <v>7</v>
      </c>
      <c r="E137" s="3">
        <v>18.8</v>
      </c>
    </row>
    <row r="138" spans="1:5" x14ac:dyDescent="0.3">
      <c r="A138" s="2">
        <v>137</v>
      </c>
      <c r="B138" s="2" t="s">
        <v>5</v>
      </c>
      <c r="C138" s="2" t="s">
        <v>9</v>
      </c>
      <c r="D138" s="2" t="s">
        <v>7</v>
      </c>
      <c r="E138" s="2">
        <v>1.3</v>
      </c>
    </row>
    <row r="139" spans="1:5" x14ac:dyDescent="0.3">
      <c r="A139" s="3">
        <v>138</v>
      </c>
      <c r="B139" s="3" t="s">
        <v>11</v>
      </c>
      <c r="C139" s="3" t="s">
        <v>19</v>
      </c>
      <c r="D139" s="3" t="s">
        <v>7</v>
      </c>
      <c r="E139" s="3">
        <v>38.700000000000003</v>
      </c>
    </row>
    <row r="140" spans="1:5" x14ac:dyDescent="0.3">
      <c r="A140" s="2">
        <v>139</v>
      </c>
      <c r="B140" s="2" t="s">
        <v>22</v>
      </c>
      <c r="C140" s="2" t="s">
        <v>13</v>
      </c>
      <c r="D140" s="2" t="s">
        <v>12</v>
      </c>
      <c r="E140" s="2"/>
    </row>
    <row r="141" spans="1:5" x14ac:dyDescent="0.3">
      <c r="A141" s="3">
        <v>140</v>
      </c>
      <c r="B141" s="3" t="s">
        <v>14</v>
      </c>
      <c r="C141" s="3" t="s">
        <v>19</v>
      </c>
      <c r="D141" s="3" t="s">
        <v>7</v>
      </c>
      <c r="E141" s="3">
        <v>1.7</v>
      </c>
    </row>
    <row r="142" spans="1:5" x14ac:dyDescent="0.3">
      <c r="A142" s="2">
        <v>141</v>
      </c>
      <c r="B142" s="2" t="s">
        <v>8</v>
      </c>
      <c r="C142" s="2" t="s">
        <v>6</v>
      </c>
      <c r="D142" s="2" t="s">
        <v>12</v>
      </c>
      <c r="E142" s="2"/>
    </row>
    <row r="143" spans="1:5" x14ac:dyDescent="0.3">
      <c r="A143" s="3">
        <v>142</v>
      </c>
      <c r="B143" s="3" t="s">
        <v>20</v>
      </c>
      <c r="C143" s="3" t="s">
        <v>9</v>
      </c>
      <c r="D143" s="3" t="s">
        <v>10</v>
      </c>
      <c r="E143" s="3"/>
    </row>
    <row r="144" spans="1:5" x14ac:dyDescent="0.3">
      <c r="A144" s="2">
        <v>143</v>
      </c>
      <c r="B144" s="2" t="s">
        <v>5</v>
      </c>
      <c r="C144" s="2" t="s">
        <v>19</v>
      </c>
      <c r="D144" s="2" t="s">
        <v>10</v>
      </c>
      <c r="E144" s="2"/>
    </row>
    <row r="145" spans="1:5" x14ac:dyDescent="0.3">
      <c r="A145" s="3">
        <v>144</v>
      </c>
      <c r="B145" s="3" t="s">
        <v>8</v>
      </c>
      <c r="C145" s="3" t="s">
        <v>9</v>
      </c>
      <c r="D145" s="3" t="s">
        <v>12</v>
      </c>
      <c r="E145" s="3"/>
    </row>
    <row r="146" spans="1:5" x14ac:dyDescent="0.3">
      <c r="A146" s="2">
        <v>145</v>
      </c>
      <c r="B146" s="2" t="s">
        <v>21</v>
      </c>
      <c r="C146" s="2" t="s">
        <v>9</v>
      </c>
      <c r="D146" s="2" t="s">
        <v>10</v>
      </c>
      <c r="E146" s="2"/>
    </row>
    <row r="147" spans="1:5" x14ac:dyDescent="0.3">
      <c r="A147" s="3">
        <v>146</v>
      </c>
      <c r="B147" s="3" t="s">
        <v>11</v>
      </c>
      <c r="C147" s="3" t="s">
        <v>13</v>
      </c>
      <c r="D147" s="3" t="s">
        <v>7</v>
      </c>
      <c r="E147" s="3">
        <v>45.7</v>
      </c>
    </row>
    <row r="148" spans="1:5" x14ac:dyDescent="0.3">
      <c r="A148" s="2">
        <v>147</v>
      </c>
      <c r="B148" s="2" t="s">
        <v>11</v>
      </c>
      <c r="C148" s="2" t="s">
        <v>19</v>
      </c>
      <c r="D148" s="2" t="s">
        <v>10</v>
      </c>
      <c r="E148" s="2"/>
    </row>
    <row r="149" spans="1:5" x14ac:dyDescent="0.3">
      <c r="A149" s="3">
        <v>148</v>
      </c>
      <c r="B149" s="3" t="s">
        <v>18</v>
      </c>
      <c r="C149" s="3" t="s">
        <v>19</v>
      </c>
      <c r="D149" s="3" t="s">
        <v>12</v>
      </c>
      <c r="E149" s="3"/>
    </row>
    <row r="150" spans="1:5" x14ac:dyDescent="0.3">
      <c r="A150" s="2">
        <v>149</v>
      </c>
      <c r="B150" s="2" t="s">
        <v>21</v>
      </c>
      <c r="C150" s="2" t="s">
        <v>9</v>
      </c>
      <c r="D150" s="2" t="s">
        <v>12</v>
      </c>
      <c r="E150" s="2"/>
    </row>
    <row r="151" spans="1:5" x14ac:dyDescent="0.3">
      <c r="A151" s="3">
        <v>150</v>
      </c>
      <c r="B151" s="3" t="s">
        <v>22</v>
      </c>
      <c r="C151" s="3" t="s">
        <v>15</v>
      </c>
      <c r="D151" s="3" t="s">
        <v>7</v>
      </c>
      <c r="E151" s="3">
        <v>2</v>
      </c>
    </row>
    <row r="152" spans="1:5" x14ac:dyDescent="0.3">
      <c r="A152" s="2">
        <v>151</v>
      </c>
      <c r="B152" s="2" t="s">
        <v>21</v>
      </c>
      <c r="C152" s="2" t="s">
        <v>13</v>
      </c>
      <c r="D152" s="2" t="s">
        <v>7</v>
      </c>
      <c r="E152" s="2">
        <v>7.8</v>
      </c>
    </row>
    <row r="153" spans="1:5" x14ac:dyDescent="0.3">
      <c r="A153" s="3">
        <v>152</v>
      </c>
      <c r="B153" s="3" t="s">
        <v>16</v>
      </c>
      <c r="C153" s="3" t="s">
        <v>6</v>
      </c>
      <c r="D153" s="3" t="s">
        <v>7</v>
      </c>
      <c r="E153" s="3">
        <v>14.1</v>
      </c>
    </row>
    <row r="154" spans="1:5" x14ac:dyDescent="0.3">
      <c r="A154" s="2">
        <v>153</v>
      </c>
      <c r="B154" s="2" t="s">
        <v>18</v>
      </c>
      <c r="C154" s="2" t="s">
        <v>15</v>
      </c>
      <c r="D154" s="2" t="s">
        <v>7</v>
      </c>
      <c r="E154" s="2">
        <v>10.1</v>
      </c>
    </row>
    <row r="155" spans="1:5" x14ac:dyDescent="0.3">
      <c r="A155" s="3">
        <v>154</v>
      </c>
      <c r="B155" s="3" t="s">
        <v>14</v>
      </c>
      <c r="C155" s="3" t="s">
        <v>9</v>
      </c>
      <c r="D155" s="3" t="s">
        <v>7</v>
      </c>
      <c r="E155" s="3">
        <v>2.1</v>
      </c>
    </row>
    <row r="156" spans="1:5" x14ac:dyDescent="0.3">
      <c r="A156" s="2">
        <v>155</v>
      </c>
      <c r="B156" s="2" t="s">
        <v>14</v>
      </c>
      <c r="C156" s="2" t="s">
        <v>6</v>
      </c>
      <c r="D156" s="2" t="s">
        <v>12</v>
      </c>
      <c r="E156" s="2"/>
    </row>
    <row r="157" spans="1:5" x14ac:dyDescent="0.3">
      <c r="A157" s="3">
        <v>156</v>
      </c>
      <c r="B157" s="3" t="s">
        <v>18</v>
      </c>
      <c r="C157" s="3" t="s">
        <v>15</v>
      </c>
      <c r="D157" s="3" t="s">
        <v>12</v>
      </c>
      <c r="E157" s="3"/>
    </row>
    <row r="158" spans="1:5" x14ac:dyDescent="0.3">
      <c r="A158" s="2">
        <v>157</v>
      </c>
      <c r="B158" s="2" t="s">
        <v>5</v>
      </c>
      <c r="C158" s="2" t="s">
        <v>19</v>
      </c>
      <c r="D158" s="2" t="s">
        <v>7</v>
      </c>
      <c r="E158" s="2">
        <v>3.6</v>
      </c>
    </row>
    <row r="159" spans="1:5" x14ac:dyDescent="0.3">
      <c r="A159" s="3">
        <v>158</v>
      </c>
      <c r="B159" s="3" t="s">
        <v>11</v>
      </c>
      <c r="C159" s="3" t="s">
        <v>19</v>
      </c>
      <c r="D159" s="3" t="s">
        <v>7</v>
      </c>
      <c r="E159" s="3">
        <v>54.9</v>
      </c>
    </row>
    <row r="160" spans="1:5" x14ac:dyDescent="0.3">
      <c r="A160" s="2">
        <v>159</v>
      </c>
      <c r="B160" s="2" t="s">
        <v>14</v>
      </c>
      <c r="C160" s="2" t="s">
        <v>13</v>
      </c>
      <c r="D160" s="2" t="s">
        <v>12</v>
      </c>
      <c r="E160" s="2"/>
    </row>
    <row r="161" spans="1:5" x14ac:dyDescent="0.3">
      <c r="A161" s="3">
        <v>160</v>
      </c>
      <c r="B161" s="3" t="s">
        <v>17</v>
      </c>
      <c r="C161" s="3" t="s">
        <v>6</v>
      </c>
      <c r="D161" s="3" t="s">
        <v>7</v>
      </c>
      <c r="E161" s="3">
        <v>26.1</v>
      </c>
    </row>
    <row r="162" spans="1:5" x14ac:dyDescent="0.3">
      <c r="A162" s="2">
        <v>161</v>
      </c>
      <c r="B162" s="2" t="s">
        <v>18</v>
      </c>
      <c r="C162" s="2" t="s">
        <v>19</v>
      </c>
      <c r="D162" s="2" t="s">
        <v>10</v>
      </c>
      <c r="E162" s="2"/>
    </row>
    <row r="163" spans="1:5" x14ac:dyDescent="0.3">
      <c r="A163" s="3">
        <v>162</v>
      </c>
      <c r="B163" s="3" t="s">
        <v>22</v>
      </c>
      <c r="C163" s="3" t="s">
        <v>13</v>
      </c>
      <c r="D163" s="3" t="s">
        <v>12</v>
      </c>
      <c r="E163" s="3"/>
    </row>
    <row r="164" spans="1:5" x14ac:dyDescent="0.3">
      <c r="A164" s="2">
        <v>163</v>
      </c>
      <c r="B164" s="2" t="s">
        <v>16</v>
      </c>
      <c r="C164" s="2" t="s">
        <v>9</v>
      </c>
      <c r="D164" s="2" t="s">
        <v>12</v>
      </c>
      <c r="E164" s="2"/>
    </row>
    <row r="165" spans="1:5" x14ac:dyDescent="0.3">
      <c r="A165" s="3">
        <v>164</v>
      </c>
      <c r="B165" s="3" t="s">
        <v>5</v>
      </c>
      <c r="C165" s="3" t="s">
        <v>19</v>
      </c>
      <c r="D165" s="3" t="s">
        <v>12</v>
      </c>
      <c r="E165" s="3"/>
    </row>
    <row r="166" spans="1:5" x14ac:dyDescent="0.3">
      <c r="A166" s="2">
        <v>165</v>
      </c>
      <c r="B166" s="2" t="s">
        <v>14</v>
      </c>
      <c r="C166" s="2" t="s">
        <v>15</v>
      </c>
      <c r="D166" s="2" t="s">
        <v>7</v>
      </c>
      <c r="E166" s="2">
        <v>3.1</v>
      </c>
    </row>
    <row r="167" spans="1:5" x14ac:dyDescent="0.3">
      <c r="A167" s="3">
        <v>166</v>
      </c>
      <c r="B167" s="3" t="s">
        <v>11</v>
      </c>
      <c r="C167" s="3" t="s">
        <v>9</v>
      </c>
      <c r="D167" s="3" t="s">
        <v>10</v>
      </c>
      <c r="E167" s="3"/>
    </row>
    <row r="168" spans="1:5" x14ac:dyDescent="0.3">
      <c r="A168" s="2">
        <v>167</v>
      </c>
      <c r="B168" s="2" t="s">
        <v>14</v>
      </c>
      <c r="C168" s="2" t="s">
        <v>6</v>
      </c>
      <c r="D168" s="2" t="s">
        <v>10</v>
      </c>
      <c r="E168" s="2"/>
    </row>
    <row r="169" spans="1:5" x14ac:dyDescent="0.3">
      <c r="A169" s="3">
        <v>168</v>
      </c>
      <c r="B169" s="3" t="s">
        <v>5</v>
      </c>
      <c r="C169" s="3" t="s">
        <v>13</v>
      </c>
      <c r="D169" s="3" t="s">
        <v>7</v>
      </c>
      <c r="E169" s="3">
        <v>2.4</v>
      </c>
    </row>
    <row r="170" spans="1:5" x14ac:dyDescent="0.3">
      <c r="A170" s="2">
        <v>169</v>
      </c>
      <c r="B170" s="2" t="s">
        <v>21</v>
      </c>
      <c r="C170" s="2" t="s">
        <v>9</v>
      </c>
      <c r="D170" s="2" t="s">
        <v>7</v>
      </c>
      <c r="E170" s="2">
        <v>4.5999999999999996</v>
      </c>
    </row>
    <row r="171" spans="1:5" x14ac:dyDescent="0.3">
      <c r="A171" s="3">
        <v>170</v>
      </c>
      <c r="B171" s="3" t="s">
        <v>17</v>
      </c>
      <c r="C171" s="3" t="s">
        <v>19</v>
      </c>
      <c r="D171" s="3" t="s">
        <v>7</v>
      </c>
      <c r="E171" s="3">
        <v>28.7</v>
      </c>
    </row>
    <row r="172" spans="1:5" x14ac:dyDescent="0.3">
      <c r="A172" s="2">
        <v>171</v>
      </c>
      <c r="B172" s="2" t="s">
        <v>14</v>
      </c>
      <c r="C172" s="2" t="s">
        <v>15</v>
      </c>
      <c r="D172" s="2" t="s">
        <v>7</v>
      </c>
      <c r="E172" s="2">
        <v>2.9</v>
      </c>
    </row>
    <row r="173" spans="1:5" x14ac:dyDescent="0.3">
      <c r="A173" s="3">
        <v>172</v>
      </c>
      <c r="B173" s="3" t="s">
        <v>16</v>
      </c>
      <c r="C173" s="3" t="s">
        <v>19</v>
      </c>
      <c r="D173" s="3" t="s">
        <v>7</v>
      </c>
      <c r="E173" s="3">
        <v>23</v>
      </c>
    </row>
    <row r="174" spans="1:5" x14ac:dyDescent="0.3">
      <c r="A174" s="2">
        <v>173</v>
      </c>
      <c r="B174" s="2" t="s">
        <v>5</v>
      </c>
      <c r="C174" s="2" t="s">
        <v>13</v>
      </c>
      <c r="D174" s="2" t="s">
        <v>7</v>
      </c>
      <c r="E174" s="2">
        <v>1.5</v>
      </c>
    </row>
    <row r="175" spans="1:5" x14ac:dyDescent="0.3">
      <c r="A175" s="3">
        <v>174</v>
      </c>
      <c r="B175" s="3" t="s">
        <v>5</v>
      </c>
      <c r="C175" s="3" t="s">
        <v>6</v>
      </c>
      <c r="D175" s="3" t="s">
        <v>7</v>
      </c>
      <c r="E175" s="3">
        <v>2.9</v>
      </c>
    </row>
    <row r="176" spans="1:5" x14ac:dyDescent="0.3">
      <c r="A176" s="2">
        <v>175</v>
      </c>
      <c r="B176" s="2" t="s">
        <v>5</v>
      </c>
      <c r="C176" s="2" t="s">
        <v>9</v>
      </c>
      <c r="D176" s="2" t="s">
        <v>10</v>
      </c>
      <c r="E176" s="2"/>
    </row>
    <row r="177" spans="1:5" x14ac:dyDescent="0.3">
      <c r="A177" s="3">
        <v>176</v>
      </c>
      <c r="B177" s="3" t="s">
        <v>22</v>
      </c>
      <c r="C177" s="3" t="s">
        <v>9</v>
      </c>
      <c r="D177" s="3" t="s">
        <v>7</v>
      </c>
      <c r="E177" s="3">
        <v>1.3</v>
      </c>
    </row>
    <row r="178" spans="1:5" x14ac:dyDescent="0.3">
      <c r="A178" s="2">
        <v>177</v>
      </c>
      <c r="B178" s="2" t="s">
        <v>11</v>
      </c>
      <c r="C178" s="2" t="s">
        <v>6</v>
      </c>
      <c r="D178" s="2" t="s">
        <v>7</v>
      </c>
      <c r="E178" s="2">
        <v>29</v>
      </c>
    </row>
    <row r="179" spans="1:5" x14ac:dyDescent="0.3">
      <c r="A179" s="3">
        <v>178</v>
      </c>
      <c r="B179" s="3" t="s">
        <v>17</v>
      </c>
      <c r="C179" s="3" t="s">
        <v>15</v>
      </c>
      <c r="D179" s="3" t="s">
        <v>7</v>
      </c>
      <c r="E179" s="3">
        <v>27.2</v>
      </c>
    </row>
    <row r="180" spans="1:5" x14ac:dyDescent="0.3">
      <c r="A180" s="2">
        <v>179</v>
      </c>
      <c r="B180" s="2" t="s">
        <v>20</v>
      </c>
      <c r="C180" s="2" t="s">
        <v>6</v>
      </c>
      <c r="D180" s="2" t="s">
        <v>7</v>
      </c>
      <c r="E180" s="2">
        <v>1.1000000000000001</v>
      </c>
    </row>
    <row r="181" spans="1:5" x14ac:dyDescent="0.3">
      <c r="A181" s="3">
        <v>180</v>
      </c>
      <c r="B181" s="3" t="s">
        <v>16</v>
      </c>
      <c r="C181" s="3" t="s">
        <v>6</v>
      </c>
      <c r="D181" s="3" t="s">
        <v>10</v>
      </c>
      <c r="E181" s="3"/>
    </row>
    <row r="182" spans="1:5" x14ac:dyDescent="0.3">
      <c r="A182" s="2">
        <v>181</v>
      </c>
      <c r="B182" s="2" t="s">
        <v>14</v>
      </c>
      <c r="C182" s="2" t="s">
        <v>19</v>
      </c>
      <c r="D182" s="2" t="s">
        <v>7</v>
      </c>
      <c r="E182" s="2">
        <v>1.6</v>
      </c>
    </row>
    <row r="183" spans="1:5" x14ac:dyDescent="0.3">
      <c r="A183" s="3">
        <v>182</v>
      </c>
      <c r="B183" s="3" t="s">
        <v>8</v>
      </c>
      <c r="C183" s="3" t="s">
        <v>9</v>
      </c>
      <c r="D183" s="3" t="s">
        <v>7</v>
      </c>
      <c r="E183" s="3">
        <v>5.4</v>
      </c>
    </row>
    <row r="184" spans="1:5" x14ac:dyDescent="0.3">
      <c r="A184" s="2">
        <v>183</v>
      </c>
      <c r="B184" s="2" t="s">
        <v>8</v>
      </c>
      <c r="C184" s="2" t="s">
        <v>13</v>
      </c>
      <c r="D184" s="2" t="s">
        <v>10</v>
      </c>
      <c r="E184" s="2"/>
    </row>
    <row r="185" spans="1:5" x14ac:dyDescent="0.3">
      <c r="A185" s="3">
        <v>184</v>
      </c>
      <c r="B185" s="3" t="s">
        <v>17</v>
      </c>
      <c r="C185" s="3" t="s">
        <v>6</v>
      </c>
      <c r="D185" s="3" t="s">
        <v>10</v>
      </c>
      <c r="E185" s="3"/>
    </row>
    <row r="186" spans="1:5" x14ac:dyDescent="0.3">
      <c r="A186" s="2">
        <v>185</v>
      </c>
      <c r="B186" s="2" t="s">
        <v>17</v>
      </c>
      <c r="C186" s="2" t="s">
        <v>19</v>
      </c>
      <c r="D186" s="2" t="s">
        <v>7</v>
      </c>
      <c r="E186" s="2">
        <v>29.8</v>
      </c>
    </row>
    <row r="187" spans="1:5" x14ac:dyDescent="0.3">
      <c r="A187" s="3">
        <v>186</v>
      </c>
      <c r="B187" s="3" t="s">
        <v>5</v>
      </c>
      <c r="C187" s="3" t="s">
        <v>15</v>
      </c>
      <c r="D187" s="3" t="s">
        <v>12</v>
      </c>
      <c r="E187" s="3"/>
    </row>
    <row r="188" spans="1:5" x14ac:dyDescent="0.3">
      <c r="A188" s="2">
        <v>187</v>
      </c>
      <c r="B188" s="2" t="s">
        <v>8</v>
      </c>
      <c r="C188" s="2" t="s">
        <v>19</v>
      </c>
      <c r="D188" s="2" t="s">
        <v>12</v>
      </c>
      <c r="E188" s="2"/>
    </row>
    <row r="189" spans="1:5" x14ac:dyDescent="0.3">
      <c r="A189" s="3">
        <v>188</v>
      </c>
      <c r="B189" s="3" t="s">
        <v>21</v>
      </c>
      <c r="C189" s="3" t="s">
        <v>15</v>
      </c>
      <c r="D189" s="3" t="s">
        <v>7</v>
      </c>
      <c r="E189" s="3">
        <v>10.3</v>
      </c>
    </row>
    <row r="190" spans="1:5" x14ac:dyDescent="0.3">
      <c r="A190" s="2">
        <v>189</v>
      </c>
      <c r="B190" s="2" t="s">
        <v>16</v>
      </c>
      <c r="C190" s="2" t="s">
        <v>13</v>
      </c>
      <c r="D190" s="2" t="s">
        <v>10</v>
      </c>
      <c r="E190" s="2"/>
    </row>
    <row r="191" spans="1:5" x14ac:dyDescent="0.3">
      <c r="A191" s="3">
        <v>190</v>
      </c>
      <c r="B191" s="3" t="s">
        <v>21</v>
      </c>
      <c r="C191" s="3" t="s">
        <v>13</v>
      </c>
      <c r="D191" s="3" t="s">
        <v>12</v>
      </c>
      <c r="E191" s="3"/>
    </row>
    <row r="192" spans="1:5" x14ac:dyDescent="0.3">
      <c r="A192" s="2">
        <v>191</v>
      </c>
      <c r="B192" s="2" t="s">
        <v>11</v>
      </c>
      <c r="C192" s="2" t="s">
        <v>19</v>
      </c>
      <c r="D192" s="2" t="s">
        <v>7</v>
      </c>
      <c r="E192" s="2">
        <v>33.299999999999997</v>
      </c>
    </row>
    <row r="193" spans="1:5" x14ac:dyDescent="0.3">
      <c r="A193" s="3">
        <v>192</v>
      </c>
      <c r="B193" s="3" t="s">
        <v>8</v>
      </c>
      <c r="C193" s="3" t="s">
        <v>9</v>
      </c>
      <c r="D193" s="3" t="s">
        <v>7</v>
      </c>
      <c r="E193" s="3">
        <v>5.5</v>
      </c>
    </row>
    <row r="194" spans="1:5" x14ac:dyDescent="0.3">
      <c r="A194" s="2">
        <v>193</v>
      </c>
      <c r="B194" s="2" t="s">
        <v>21</v>
      </c>
      <c r="C194" s="2" t="s">
        <v>9</v>
      </c>
      <c r="D194" s="2" t="s">
        <v>10</v>
      </c>
      <c r="E194" s="2"/>
    </row>
    <row r="195" spans="1:5" x14ac:dyDescent="0.3">
      <c r="A195" s="3">
        <v>194</v>
      </c>
      <c r="B195" s="3" t="s">
        <v>14</v>
      </c>
      <c r="C195" s="3" t="s">
        <v>13</v>
      </c>
      <c r="D195" s="3" t="s">
        <v>7</v>
      </c>
      <c r="E195" s="3">
        <v>1.1000000000000001</v>
      </c>
    </row>
    <row r="196" spans="1:5" x14ac:dyDescent="0.3">
      <c r="A196" s="2">
        <v>195</v>
      </c>
      <c r="B196" s="2" t="s">
        <v>20</v>
      </c>
      <c r="C196" s="2" t="s">
        <v>15</v>
      </c>
      <c r="D196" s="2" t="s">
        <v>12</v>
      </c>
      <c r="E196" s="2"/>
    </row>
    <row r="197" spans="1:5" x14ac:dyDescent="0.3">
      <c r="A197" s="3">
        <v>196</v>
      </c>
      <c r="B197" s="3" t="s">
        <v>17</v>
      </c>
      <c r="C197" s="3" t="s">
        <v>9</v>
      </c>
      <c r="D197" s="3" t="s">
        <v>7</v>
      </c>
      <c r="E197" s="3">
        <v>16.5</v>
      </c>
    </row>
    <row r="198" spans="1:5" x14ac:dyDescent="0.3">
      <c r="A198" s="2">
        <v>197</v>
      </c>
      <c r="B198" s="2" t="s">
        <v>16</v>
      </c>
      <c r="C198" s="2" t="s">
        <v>13</v>
      </c>
      <c r="D198" s="2" t="s">
        <v>10</v>
      </c>
      <c r="E198" s="2"/>
    </row>
    <row r="199" spans="1:5" x14ac:dyDescent="0.3">
      <c r="A199" s="3">
        <v>198</v>
      </c>
      <c r="B199" s="3" t="s">
        <v>18</v>
      </c>
      <c r="C199" s="3" t="s">
        <v>6</v>
      </c>
      <c r="D199" s="3" t="s">
        <v>7</v>
      </c>
      <c r="E199" s="3">
        <v>8.1</v>
      </c>
    </row>
    <row r="200" spans="1:5" x14ac:dyDescent="0.3">
      <c r="A200" s="2">
        <v>199</v>
      </c>
      <c r="B200" s="2" t="s">
        <v>21</v>
      </c>
      <c r="C200" s="2" t="s">
        <v>19</v>
      </c>
      <c r="D200" s="2" t="s">
        <v>10</v>
      </c>
      <c r="E200" s="2"/>
    </row>
    <row r="201" spans="1:5" x14ac:dyDescent="0.3">
      <c r="A201" s="3">
        <v>200</v>
      </c>
      <c r="B201" s="3" t="s">
        <v>21</v>
      </c>
      <c r="C201" s="3" t="s">
        <v>9</v>
      </c>
      <c r="D201" s="3" t="s">
        <v>12</v>
      </c>
      <c r="E20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2DB5-D214-4742-BB2A-609996A27186}">
  <dimension ref="A3:L10"/>
  <sheetViews>
    <sheetView workbookViewId="0">
      <selection activeCell="A3" sqref="A3"/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7.109375" bestFit="1" customWidth="1"/>
    <col min="4" max="4" width="19.44140625" bestFit="1" customWidth="1"/>
    <col min="5" max="5" width="6.77734375" bestFit="1" customWidth="1"/>
    <col min="6" max="6" width="18.44140625" bestFit="1" customWidth="1"/>
    <col min="7" max="7" width="16.5546875" bestFit="1" customWidth="1"/>
    <col min="8" max="8" width="20.77734375" bestFit="1" customWidth="1"/>
    <col min="9" max="9" width="16.44140625" bestFit="1" customWidth="1"/>
    <col min="10" max="10" width="12.6640625" bestFit="1" customWidth="1"/>
    <col min="11" max="11" width="16" bestFit="1" customWidth="1"/>
    <col min="12" max="12" width="10.77734375" bestFit="1" customWidth="1"/>
  </cols>
  <sheetData>
    <row r="3" spans="1:12" x14ac:dyDescent="0.3">
      <c r="A3" s="5" t="s">
        <v>30</v>
      </c>
      <c r="B3" s="5" t="s">
        <v>29</v>
      </c>
    </row>
    <row r="4" spans="1:12" x14ac:dyDescent="0.3">
      <c r="A4" s="5" t="s">
        <v>27</v>
      </c>
      <c r="B4" t="s">
        <v>11</v>
      </c>
      <c r="C4" t="s">
        <v>17</v>
      </c>
      <c r="D4" t="s">
        <v>16</v>
      </c>
      <c r="E4" t="s">
        <v>18</v>
      </c>
      <c r="F4" t="s">
        <v>21</v>
      </c>
      <c r="G4" t="s">
        <v>8</v>
      </c>
      <c r="H4" t="s">
        <v>14</v>
      </c>
      <c r="I4" t="s">
        <v>5</v>
      </c>
      <c r="J4" t="s">
        <v>22</v>
      </c>
      <c r="K4" t="s">
        <v>20</v>
      </c>
      <c r="L4" t="s">
        <v>28</v>
      </c>
    </row>
    <row r="5" spans="1:12" x14ac:dyDescent="0.3">
      <c r="A5" s="6" t="s">
        <v>19</v>
      </c>
      <c r="B5" s="4">
        <v>46.150000000000006</v>
      </c>
      <c r="C5" s="4">
        <v>29.25</v>
      </c>
      <c r="D5" s="4">
        <v>23</v>
      </c>
      <c r="E5" s="4">
        <v>20.066666666666666</v>
      </c>
      <c r="F5" s="4">
        <v>13.65</v>
      </c>
      <c r="G5" s="4">
        <v>5.3</v>
      </c>
      <c r="H5" s="4">
        <v>1.65</v>
      </c>
      <c r="I5" s="4">
        <v>3.25</v>
      </c>
      <c r="J5" s="4">
        <v>1.6</v>
      </c>
      <c r="K5" s="4">
        <v>1.7</v>
      </c>
      <c r="L5" s="4">
        <v>18.023809523809526</v>
      </c>
    </row>
    <row r="6" spans="1:12" x14ac:dyDescent="0.3">
      <c r="A6" s="6" t="s">
        <v>13</v>
      </c>
      <c r="B6" s="4">
        <v>39.549999999999997</v>
      </c>
      <c r="C6" s="4">
        <v>27.049999999999997</v>
      </c>
      <c r="D6" s="4">
        <v>25.2</v>
      </c>
      <c r="E6" s="4">
        <v>15.35</v>
      </c>
      <c r="F6" s="4">
        <v>8</v>
      </c>
      <c r="G6" s="4">
        <v>5.8000000000000007</v>
      </c>
      <c r="H6" s="4">
        <v>1.9</v>
      </c>
      <c r="I6" s="4">
        <v>1.7</v>
      </c>
      <c r="J6" s="4">
        <v>1.3</v>
      </c>
      <c r="K6" s="4">
        <v>2.1</v>
      </c>
      <c r="L6" s="4">
        <v>10.607692307692307</v>
      </c>
    </row>
    <row r="7" spans="1:12" x14ac:dyDescent="0.3">
      <c r="A7" s="6" t="s">
        <v>6</v>
      </c>
      <c r="B7" s="4">
        <v>29</v>
      </c>
      <c r="C7" s="4">
        <v>25.5</v>
      </c>
      <c r="D7" s="4">
        <v>18.974999999999998</v>
      </c>
      <c r="E7" s="4">
        <v>12.42</v>
      </c>
      <c r="F7" s="4"/>
      <c r="G7" s="4">
        <v>5.25</v>
      </c>
      <c r="H7" s="4">
        <v>2.8</v>
      </c>
      <c r="I7" s="4">
        <v>1.7749999999999999</v>
      </c>
      <c r="J7" s="4">
        <v>1.6</v>
      </c>
      <c r="K7" s="4">
        <v>1.5</v>
      </c>
      <c r="L7" s="4">
        <v>9.9559999999999995</v>
      </c>
    </row>
    <row r="8" spans="1:12" x14ac:dyDescent="0.3">
      <c r="A8" s="6" t="s">
        <v>15</v>
      </c>
      <c r="B8" s="4">
        <v>40.1</v>
      </c>
      <c r="C8" s="4">
        <v>27.2</v>
      </c>
      <c r="D8" s="4">
        <v>15.25</v>
      </c>
      <c r="E8" s="4">
        <v>13.066666666666668</v>
      </c>
      <c r="F8" s="4">
        <v>12.55</v>
      </c>
      <c r="G8" s="4">
        <v>5.757142857142858</v>
      </c>
      <c r="H8" s="4">
        <v>2.6999999999999997</v>
      </c>
      <c r="I8" s="4">
        <v>2.4500000000000002</v>
      </c>
      <c r="J8" s="4">
        <v>1.7</v>
      </c>
      <c r="K8" s="4">
        <v>1.6</v>
      </c>
      <c r="L8" s="4">
        <v>8.6653846153846157</v>
      </c>
    </row>
    <row r="9" spans="1:12" x14ac:dyDescent="0.3">
      <c r="A9" s="6" t="s">
        <v>9</v>
      </c>
      <c r="B9" s="4"/>
      <c r="C9" s="4">
        <v>15.666666666666666</v>
      </c>
      <c r="D9" s="4">
        <v>18.399999999999999</v>
      </c>
      <c r="E9" s="4">
        <v>13.125</v>
      </c>
      <c r="F9" s="4">
        <v>4.5999999999999996</v>
      </c>
      <c r="G9" s="4">
        <v>5.125</v>
      </c>
      <c r="H9" s="4">
        <v>1.9666666666666668</v>
      </c>
      <c r="I9" s="4">
        <v>1.7000000000000002</v>
      </c>
      <c r="J9" s="4">
        <v>1.3</v>
      </c>
      <c r="K9" s="4">
        <v>1.55</v>
      </c>
      <c r="L9" s="4">
        <v>7.959090909090909</v>
      </c>
    </row>
    <row r="10" spans="1:12" x14ac:dyDescent="0.3">
      <c r="A10" s="6" t="s">
        <v>28</v>
      </c>
      <c r="B10" s="4">
        <v>41.6</v>
      </c>
      <c r="C10" s="4">
        <v>23.779999999999998</v>
      </c>
      <c r="D10" s="4">
        <v>19.139999999999997</v>
      </c>
      <c r="E10" s="4">
        <v>14.494736842105262</v>
      </c>
      <c r="F10" s="4">
        <v>10.125</v>
      </c>
      <c r="G10" s="4">
        <v>5.5125000000000011</v>
      </c>
      <c r="H10" s="4">
        <v>2.1785714285714284</v>
      </c>
      <c r="I10" s="4">
        <v>2.2277777777777779</v>
      </c>
      <c r="J10" s="4">
        <v>1.4888888888888889</v>
      </c>
      <c r="K10" s="4">
        <v>1.6249999999999998</v>
      </c>
      <c r="L10" s="4">
        <v>10.863333333333333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311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Dontrey Overton</cp:lastModifiedBy>
  <dcterms:created xsi:type="dcterms:W3CDTF">2026-04-01T20:02:31Z</dcterms:created>
  <dcterms:modified xsi:type="dcterms:W3CDTF">2026-04-01T21:33:58Z</dcterms:modified>
</cp:coreProperties>
</file>